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e8b4505378d7763/Desktop/Codegnan Excel Practice/"/>
    </mc:Choice>
  </mc:AlternateContent>
  <xr:revisionPtr revIDLastSave="34" documentId="8_{D03CE372-EEBA-48D6-A3EE-9F94E0BFD2F7}" xr6:coauthVersionLast="47" xr6:coauthVersionMax="47" xr10:uidLastSave="{07F01D43-A27D-451B-B6AF-97E10C065DFC}"/>
  <bookViews>
    <workbookView xWindow="-108" yWindow="-108" windowWidth="23256" windowHeight="12456" xr2:uid="{0E55A255-72CE-4E59-989F-B7ACDEDD5F9F}"/>
  </bookViews>
  <sheets>
    <sheet name="Sheet1" sheetId="1" r:id="rId1"/>
  </sheets>
  <definedNames>
    <definedName name="_xlnm._FilterDatabase" localSheetId="0" hidden="1">Sheet1!$A$1:$H$44</definedName>
    <definedName name="_xlcn.WorksheetConnection_Sheet1L4L61" hidden="1">Sheet1!$L$4:$L$6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L$4:$L$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5" i="1" l="1"/>
  <c r="L5" i="1"/>
  <c r="L6" i="1"/>
  <c r="F5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44C07C-9AAB-49D2-BE9C-DD076748D7C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2FFF2B1-D01C-417C-B055-CCDA1A9531B8}" name="WorksheetConnection_Sheet1!$L$4:$L$6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Sheet1L4L61"/>
        </x15:connection>
      </ext>
    </extLst>
  </connection>
</connections>
</file>

<file path=xl/sharedStrings.xml><?xml version="1.0" encoding="utf-8"?>
<sst xmlns="http://schemas.openxmlformats.org/spreadsheetml/2006/main" count="270" uniqueCount="155">
  <si>
    <t>Roll Number</t>
  </si>
  <si>
    <t>Last Name</t>
  </si>
  <si>
    <t>First Name</t>
  </si>
  <si>
    <t>Dept</t>
  </si>
  <si>
    <t>Relationship Status</t>
  </si>
  <si>
    <t>Fee amount</t>
  </si>
  <si>
    <t>Block</t>
  </si>
  <si>
    <t>Enrollment Month</t>
  </si>
  <si>
    <t>Kapoor</t>
  </si>
  <si>
    <t>Anshul</t>
  </si>
  <si>
    <t>MBA</t>
  </si>
  <si>
    <t>Temporary Feelings</t>
  </si>
  <si>
    <t>Block 1</t>
  </si>
  <si>
    <t>May</t>
  </si>
  <si>
    <t>Verma</t>
  </si>
  <si>
    <t>Meera</t>
  </si>
  <si>
    <t>Crush Changed Section</t>
  </si>
  <si>
    <t>Block 2</t>
  </si>
  <si>
    <t>March</t>
  </si>
  <si>
    <t>Mehta</t>
  </si>
  <si>
    <t>Vikas</t>
  </si>
  <si>
    <t>Proposal Pending Approval</t>
  </si>
  <si>
    <t>August</t>
  </si>
  <si>
    <t>Gupta</t>
  </si>
  <si>
    <t>Alok</t>
  </si>
  <si>
    <t>Permanent Single</t>
  </si>
  <si>
    <t>January</t>
  </si>
  <si>
    <t>Sharma</t>
  </si>
  <si>
    <t>Rajesh</t>
  </si>
  <si>
    <t>Attendance Over Romance</t>
  </si>
  <si>
    <t>Rao</t>
  </si>
  <si>
    <t>Suman</t>
  </si>
  <si>
    <t>CE</t>
  </si>
  <si>
    <t>Seen At 2:17 AM</t>
  </si>
  <si>
    <t>Block 3</t>
  </si>
  <si>
    <t>CSE</t>
  </si>
  <si>
    <t>Bhatia</t>
  </si>
  <si>
    <t>Ramesh</t>
  </si>
  <si>
    <t>Waiting For Reply</t>
  </si>
  <si>
    <t>December</t>
  </si>
  <si>
    <t>Shah</t>
  </si>
  <si>
    <t>Nitin</t>
  </si>
  <si>
    <t>Friend Zoned Pro</t>
  </si>
  <si>
    <t>September</t>
  </si>
  <si>
    <t>Iyer</t>
  </si>
  <si>
    <t>Harsha</t>
  </si>
  <si>
    <t>Crushing On Someone</t>
  </si>
  <si>
    <t>February</t>
  </si>
  <si>
    <t>Nair</t>
  </si>
  <si>
    <t>Krishnan</t>
  </si>
  <si>
    <t>Ghosted Recently</t>
  </si>
  <si>
    <t>Singh</t>
  </si>
  <si>
    <t>Bhavna</t>
  </si>
  <si>
    <t>Married To Studies</t>
  </si>
  <si>
    <t>Yadav</t>
  </si>
  <si>
    <t>Ashok</t>
  </si>
  <si>
    <t>In Love With WiFi</t>
  </si>
  <si>
    <t>Tanya</t>
  </si>
  <si>
    <t>EE</t>
  </si>
  <si>
    <t>Upgrade Required</t>
  </si>
  <si>
    <t>April</t>
  </si>
  <si>
    <t>Chawla</t>
  </si>
  <si>
    <t>Aditya</t>
  </si>
  <si>
    <t>Searching Via LinkedIn</t>
  </si>
  <si>
    <t>Kumar</t>
  </si>
  <si>
    <t>Deepak</t>
  </si>
  <si>
    <t>Blocked And Blessed</t>
  </si>
  <si>
    <t>Chauhan</t>
  </si>
  <si>
    <t>Saurabh</t>
  </si>
  <si>
    <t>Love Loading</t>
  </si>
  <si>
    <t>Khanna</t>
  </si>
  <si>
    <t>Sushil</t>
  </si>
  <si>
    <t>Download Failed</t>
  </si>
  <si>
    <t>Kohli</t>
  </si>
  <si>
    <t>Vikram</t>
  </si>
  <si>
    <t>Trial Version Of Love</t>
  </si>
  <si>
    <t>November</t>
  </si>
  <si>
    <t>Bhardwaj</t>
  </si>
  <si>
    <t>Rahul</t>
  </si>
  <si>
    <t>ECE</t>
  </si>
  <si>
    <t>Committed To Sleep</t>
  </si>
  <si>
    <t>Sanjay</t>
  </si>
  <si>
    <t>Heart Under Maintenance</t>
  </si>
  <si>
    <t>July</t>
  </si>
  <si>
    <t>Desai</t>
  </si>
  <si>
    <t>Pooja</t>
  </si>
  <si>
    <t>Love At First Assignment</t>
  </si>
  <si>
    <t>Menon</t>
  </si>
  <si>
    <t>Engaged To Netflix</t>
  </si>
  <si>
    <t>Kaur</t>
  </si>
  <si>
    <t>Preeti</t>
  </si>
  <si>
    <t>Relationship With Food</t>
  </si>
  <si>
    <t>Walia</t>
  </si>
  <si>
    <t>Priya</t>
  </si>
  <si>
    <t>Gym Is My Only Love</t>
  </si>
  <si>
    <t>Sethi</t>
  </si>
  <si>
    <t>Kiran</t>
  </si>
  <si>
    <t>Flirting For Research</t>
  </si>
  <si>
    <t>October</t>
  </si>
  <si>
    <t>Neha</t>
  </si>
  <si>
    <t>Breakup Recovery Mode</t>
  </si>
  <si>
    <t>Malhotra</t>
  </si>
  <si>
    <t>Esha</t>
  </si>
  <si>
    <t>Mom Says Focus On Career</t>
  </si>
  <si>
    <t>Patel</t>
  </si>
  <si>
    <t>Shruti</t>
  </si>
  <si>
    <t>Situationship Survivor</t>
  </si>
  <si>
    <t>Neeta</t>
  </si>
  <si>
    <t>One Sided Legend</t>
  </si>
  <si>
    <t>Trivedi</t>
  </si>
  <si>
    <t>Mohan</t>
  </si>
  <si>
    <t>Talking Stage Expert</t>
  </si>
  <si>
    <t>Mathur</t>
  </si>
  <si>
    <t>Geeta</t>
  </si>
  <si>
    <t>In Relationship With Exams</t>
  </si>
  <si>
    <t>Reddy</t>
  </si>
  <si>
    <t>Kavita</t>
  </si>
  <si>
    <t>Emotionally Unavailable</t>
  </si>
  <si>
    <t>Bansal</t>
  </si>
  <si>
    <t>Usha</t>
  </si>
  <si>
    <t>Dedicated To Self Growth</t>
  </si>
  <si>
    <t>Joshi</t>
  </si>
  <si>
    <t>Rakesh</t>
  </si>
  <si>
    <t>ME</t>
  </si>
  <si>
    <t>Sister Zoned By All</t>
  </si>
  <si>
    <t>Khan</t>
  </si>
  <si>
    <t>Ayesha</t>
  </si>
  <si>
    <t>Emotional EMI Running</t>
  </si>
  <si>
    <t>Dey</t>
  </si>
  <si>
    <t>Ravi</t>
  </si>
  <si>
    <t>Coding Is My Valentine</t>
  </si>
  <si>
    <t>Kapur</t>
  </si>
  <si>
    <t>Anjali</t>
  </si>
  <si>
    <t>Love In Airplane Mode</t>
  </si>
  <si>
    <t>Pillai</t>
  </si>
  <si>
    <t>Sunita</t>
  </si>
  <si>
    <t>Married To Placement</t>
  </si>
  <si>
    <t>Rana</t>
  </si>
  <si>
    <t>Aman</t>
  </si>
  <si>
    <t>Under Parental Supervision</t>
  </si>
  <si>
    <t>Ahuja</t>
  </si>
  <si>
    <t>Rajeev</t>
  </si>
  <si>
    <t>Bro Zoned Someone</t>
  </si>
  <si>
    <t>Agarwal</t>
  </si>
  <si>
    <t>AE</t>
  </si>
  <si>
    <t>Complicated</t>
  </si>
  <si>
    <t>Prasad</t>
  </si>
  <si>
    <t>Single</t>
  </si>
  <si>
    <t>Pandey</t>
  </si>
  <si>
    <t>Ritu</t>
  </si>
  <si>
    <t>It's Academic</t>
  </si>
  <si>
    <t>June</t>
  </si>
  <si>
    <t>Fee Amount</t>
  </si>
  <si>
    <t>Department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</si>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</sst>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/>
  </cellXfs>
  <cellStyles count="1">
    <cellStyle name="Normal" xfId="0" builtinId="0"/>
  </cellStyles>
  <dxfs count="16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onnections" Target="connection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10" Type="http://schemas.openxmlformats.org/officeDocument/2006/relationships/customXml" Target="../customXml/item2.xml"/><Relationship Id="rId4" Type="http://schemas.openxmlformats.org/officeDocument/2006/relationships/styles" Target="style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DBF9AC-917F-4021-B9DC-539C341473F7}" name="Education" displayName="Education" ref="A1:H45" totalsRowCount="1" headerRowDxfId="7" dataDxfId="8">
  <autoFilter ref="A1:H44" xr:uid="{A6F6B3C9-8FBF-4C8F-8316-643D780AC356}"/>
  <tableColumns count="8">
    <tableColumn id="1" xr3:uid="{22CE16BB-7701-4ED9-94B0-9B658F886FBF}" name="Roll Number" dataDxfId="15" totalsRowDxfId="6"/>
    <tableColumn id="2" xr3:uid="{5B00886A-1C0B-44A6-AAEF-10757C44261E}" name="Last Name" dataDxfId="14" totalsRowDxfId="5"/>
    <tableColumn id="3" xr3:uid="{91724D64-2B04-4C1E-B5EB-6C205230C12B}" name="First Name" dataDxfId="13" totalsRowDxfId="4"/>
    <tableColumn id="4" xr3:uid="{92D616A4-B454-4FFC-A570-27746DE96E68}" name="Dept" dataDxfId="12" totalsRowDxfId="3"/>
    <tableColumn id="5" xr3:uid="{9056C3C7-8B0C-480C-907A-CF62EF12A9E9}" name="Relationship Status" dataDxfId="11" totalsRowDxfId="2"/>
    <tableColumn id="6" xr3:uid="{B6FC35B6-5AB2-43BE-8E2C-A328FCF53B46}" name="Fee amount" totalsRowFunction="custom" dataDxfId="10" totalsRowDxfId="1">
      <totalsRowFormula>SUM(F2:F44)</totalsRowFormula>
    </tableColumn>
    <tableColumn id="7" xr3:uid="{CEE30781-410B-412C-9535-B6460AAA53EC}" name="Block" dataDxfId="9" totalsRowDxfId="0"/>
    <tableColumn id="8" xr3:uid="{9B8B8A6E-3FFA-4A02-8A6C-EF833A7B4375}" name="Enrollment 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97428C7-3255-424C-B9A1-EA614DDD60AD}">
  <we:reference id="wa200005271" version="3.0.0.4" store="en-US" storeType="OMEX"/>
  <we:alternateReferences>
    <we:reference id="WA200005271" version="3.0.0.4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6B3C9-8FBF-4C8F-8316-643D780AC356}">
  <dimension ref="A1:L50"/>
  <sheetViews>
    <sheetView tabSelected="1" workbookViewId="0">
      <selection activeCell="L13" sqref="L13"/>
    </sheetView>
  </sheetViews>
  <sheetFormatPr defaultRowHeight="14.4" x14ac:dyDescent="0.3"/>
  <cols>
    <col min="1" max="1" width="15" customWidth="1"/>
    <col min="2" max="2" width="12.77734375" customWidth="1"/>
    <col min="3" max="3" width="14.21875" customWidth="1"/>
    <col min="5" max="5" width="27.109375" customWidth="1"/>
    <col min="6" max="6" width="19.33203125" customWidth="1"/>
    <col min="8" max="8" width="18.33203125" customWidth="1"/>
    <col min="11" max="11" width="9.5546875" style="3" customWidth="1"/>
    <col min="12" max="12" width="25.44140625" style="3" customWidth="1"/>
  </cols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2" x14ac:dyDescent="0.3">
      <c r="A2" s="2">
        <v>2014</v>
      </c>
      <c r="B2" s="2" t="s">
        <v>8</v>
      </c>
      <c r="C2" s="2" t="s">
        <v>9</v>
      </c>
      <c r="D2" s="2" t="s">
        <v>10</v>
      </c>
      <c r="E2" s="2" t="s">
        <v>11</v>
      </c>
      <c r="F2" s="2">
        <v>3210</v>
      </c>
      <c r="G2" s="2" t="s">
        <v>12</v>
      </c>
      <c r="H2" t="s">
        <v>13</v>
      </c>
    </row>
    <row r="3" spans="1:12" x14ac:dyDescent="0.3">
      <c r="A3" s="2">
        <v>1823</v>
      </c>
      <c r="B3" s="2" t="s">
        <v>14</v>
      </c>
      <c r="C3" s="2" t="s">
        <v>15</v>
      </c>
      <c r="D3" s="2" t="s">
        <v>10</v>
      </c>
      <c r="E3" s="2" t="s">
        <v>16</v>
      </c>
      <c r="F3" s="2">
        <v>3211</v>
      </c>
      <c r="G3" s="2" t="s">
        <v>17</v>
      </c>
      <c r="H3" t="s">
        <v>18</v>
      </c>
    </row>
    <row r="4" spans="1:12" x14ac:dyDescent="0.3">
      <c r="A4" s="2">
        <v>1899</v>
      </c>
      <c r="B4" s="2" t="s">
        <v>27</v>
      </c>
      <c r="C4" s="2" t="s">
        <v>99</v>
      </c>
      <c r="D4" s="2" t="s">
        <v>35</v>
      </c>
      <c r="E4" s="2" t="s">
        <v>100</v>
      </c>
      <c r="F4" s="2">
        <v>3212</v>
      </c>
      <c r="G4" s="2" t="s">
        <v>34</v>
      </c>
      <c r="H4" t="s">
        <v>76</v>
      </c>
      <c r="J4" s="5" t="s">
        <v>0</v>
      </c>
      <c r="L4" s="3">
        <v>1972</v>
      </c>
    </row>
    <row r="5" spans="1:12" x14ac:dyDescent="0.3">
      <c r="A5" s="2">
        <v>1296</v>
      </c>
      <c r="B5" s="2" t="s">
        <v>121</v>
      </c>
      <c r="C5" s="2" t="s">
        <v>122</v>
      </c>
      <c r="D5" s="2" t="s">
        <v>123</v>
      </c>
      <c r="E5" s="2" t="s">
        <v>124</v>
      </c>
      <c r="F5" s="2">
        <v>3213</v>
      </c>
      <c r="G5" s="2" t="s">
        <v>12</v>
      </c>
      <c r="H5" t="s">
        <v>83</v>
      </c>
      <c r="J5" s="5" t="s">
        <v>152</v>
      </c>
      <c r="L5" s="3">
        <f>IFERROR(VLOOKUP(L4,Education[],6,FALSE),"Not Found")</f>
        <v>3230</v>
      </c>
    </row>
    <row r="6" spans="1:12" ht="17.399999999999999" customHeight="1" x14ac:dyDescent="0.3">
      <c r="A6" s="2">
        <v>1976</v>
      </c>
      <c r="B6" s="2" t="s">
        <v>77</v>
      </c>
      <c r="C6" s="2" t="s">
        <v>78</v>
      </c>
      <c r="D6" s="2" t="s">
        <v>79</v>
      </c>
      <c r="E6" s="2" t="s">
        <v>80</v>
      </c>
      <c r="F6" s="2">
        <v>3214</v>
      </c>
      <c r="G6" s="2" t="s">
        <v>34</v>
      </c>
      <c r="H6" t="s">
        <v>22</v>
      </c>
      <c r="J6" s="5" t="s">
        <v>153</v>
      </c>
      <c r="L6" s="4" t="str">
        <f>IFERROR(VLOOKUP(L4,Education[],4,FALSE),"Not Found")</f>
        <v>ME</v>
      </c>
    </row>
    <row r="7" spans="1:12" x14ac:dyDescent="0.3">
      <c r="A7" s="2">
        <v>1892</v>
      </c>
      <c r="B7" s="2" t="s">
        <v>101</v>
      </c>
      <c r="C7" s="2" t="s">
        <v>102</v>
      </c>
      <c r="D7" s="2" t="s">
        <v>35</v>
      </c>
      <c r="E7" s="2" t="s">
        <v>103</v>
      </c>
      <c r="F7" s="2">
        <v>3215</v>
      </c>
      <c r="G7" s="2" t="s">
        <v>17</v>
      </c>
      <c r="H7" t="s">
        <v>18</v>
      </c>
      <c r="K7" s="4"/>
    </row>
    <row r="8" spans="1:12" x14ac:dyDescent="0.3">
      <c r="A8" s="2">
        <v>1519</v>
      </c>
      <c r="B8" s="2" t="s">
        <v>143</v>
      </c>
      <c r="C8" s="2" t="s">
        <v>93</v>
      </c>
      <c r="D8" s="2" t="s">
        <v>144</v>
      </c>
      <c r="E8" s="2" t="s">
        <v>145</v>
      </c>
      <c r="F8" s="2">
        <v>3216</v>
      </c>
      <c r="G8" s="2" t="s">
        <v>12</v>
      </c>
      <c r="H8" t="s">
        <v>98</v>
      </c>
    </row>
    <row r="9" spans="1:12" x14ac:dyDescent="0.3">
      <c r="A9" s="2">
        <v>1374</v>
      </c>
      <c r="B9" s="2" t="s">
        <v>8</v>
      </c>
      <c r="C9" s="2" t="s">
        <v>81</v>
      </c>
      <c r="D9" s="2" t="s">
        <v>79</v>
      </c>
      <c r="E9" s="2" t="s">
        <v>82</v>
      </c>
      <c r="F9" s="2">
        <v>3217</v>
      </c>
      <c r="G9" s="2" t="s">
        <v>34</v>
      </c>
      <c r="H9" t="s">
        <v>83</v>
      </c>
    </row>
    <row r="10" spans="1:12" x14ac:dyDescent="0.3">
      <c r="A10" s="2">
        <v>1582</v>
      </c>
      <c r="B10" s="2" t="s">
        <v>51</v>
      </c>
      <c r="C10" s="2" t="s">
        <v>57</v>
      </c>
      <c r="D10" s="2" t="s">
        <v>58</v>
      </c>
      <c r="E10" s="2" t="s">
        <v>59</v>
      </c>
      <c r="F10" s="2">
        <v>3218</v>
      </c>
      <c r="G10" s="2" t="s">
        <v>12</v>
      </c>
      <c r="H10" t="s">
        <v>60</v>
      </c>
    </row>
    <row r="11" spans="1:12" x14ac:dyDescent="0.3">
      <c r="A11" s="2">
        <v>1237</v>
      </c>
      <c r="B11" s="2" t="s">
        <v>30</v>
      </c>
      <c r="C11" s="2" t="s">
        <v>31</v>
      </c>
      <c r="D11" s="2" t="s">
        <v>32</v>
      </c>
      <c r="E11" s="2" t="s">
        <v>33</v>
      </c>
      <c r="F11" s="2">
        <v>3219</v>
      </c>
      <c r="G11" s="2" t="s">
        <v>34</v>
      </c>
      <c r="H11" t="s">
        <v>22</v>
      </c>
    </row>
    <row r="12" spans="1:12" x14ac:dyDescent="0.3">
      <c r="A12" s="2">
        <v>1674</v>
      </c>
      <c r="B12" s="2" t="s">
        <v>36</v>
      </c>
      <c r="C12" s="2" t="s">
        <v>37</v>
      </c>
      <c r="D12" s="2" t="s">
        <v>32</v>
      </c>
      <c r="E12" s="2" t="s">
        <v>38</v>
      </c>
      <c r="F12" s="2">
        <v>3220</v>
      </c>
      <c r="G12" s="2" t="s">
        <v>17</v>
      </c>
      <c r="H12" t="s">
        <v>39</v>
      </c>
    </row>
    <row r="13" spans="1:12" x14ac:dyDescent="0.3">
      <c r="A13" s="2">
        <v>1458</v>
      </c>
      <c r="B13" s="2" t="s">
        <v>104</v>
      </c>
      <c r="C13" s="2" t="s">
        <v>105</v>
      </c>
      <c r="D13" s="2" t="s">
        <v>35</v>
      </c>
      <c r="E13" s="2" t="s">
        <v>106</v>
      </c>
      <c r="F13" s="2">
        <v>3221</v>
      </c>
      <c r="G13" s="2" t="s">
        <v>12</v>
      </c>
      <c r="H13" t="s">
        <v>47</v>
      </c>
      <c r="L13" s="3" t="s">
        <v>154</v>
      </c>
    </row>
    <row r="14" spans="1:12" x14ac:dyDescent="0.3">
      <c r="A14" s="2">
        <v>1991</v>
      </c>
      <c r="B14" s="2" t="s">
        <v>125</v>
      </c>
      <c r="C14" s="2" t="s">
        <v>126</v>
      </c>
      <c r="D14" s="2" t="s">
        <v>123</v>
      </c>
      <c r="E14" s="2" t="s">
        <v>127</v>
      </c>
      <c r="F14" s="2">
        <v>3222</v>
      </c>
      <c r="G14" s="2" t="s">
        <v>17</v>
      </c>
      <c r="H14" t="s">
        <v>22</v>
      </c>
    </row>
    <row r="15" spans="1:12" x14ac:dyDescent="0.3">
      <c r="A15" s="2">
        <v>1299</v>
      </c>
      <c r="B15" s="2" t="s">
        <v>40</v>
      </c>
      <c r="C15" s="2" t="s">
        <v>41</v>
      </c>
      <c r="D15" s="2" t="s">
        <v>32</v>
      </c>
      <c r="E15" s="2" t="s">
        <v>42</v>
      </c>
      <c r="F15" s="2">
        <v>3223</v>
      </c>
      <c r="G15" s="2" t="s">
        <v>34</v>
      </c>
      <c r="H15" t="s">
        <v>43</v>
      </c>
    </row>
    <row r="16" spans="1:12" x14ac:dyDescent="0.3">
      <c r="A16" s="2">
        <v>1968</v>
      </c>
      <c r="B16" s="2" t="s">
        <v>84</v>
      </c>
      <c r="C16" s="2" t="s">
        <v>85</v>
      </c>
      <c r="D16" s="2" t="s">
        <v>79</v>
      </c>
      <c r="E16" s="2" t="s">
        <v>86</v>
      </c>
      <c r="F16" s="2">
        <v>3224</v>
      </c>
      <c r="G16" s="2" t="s">
        <v>34</v>
      </c>
      <c r="H16" t="s">
        <v>83</v>
      </c>
    </row>
    <row r="17" spans="1:12" x14ac:dyDescent="0.3">
      <c r="A17" s="2">
        <v>1943</v>
      </c>
      <c r="B17" s="2" t="s">
        <v>128</v>
      </c>
      <c r="C17" s="2" t="s">
        <v>129</v>
      </c>
      <c r="D17" s="2" t="s">
        <v>123</v>
      </c>
      <c r="E17" s="2" t="s">
        <v>130</v>
      </c>
      <c r="F17" s="2">
        <v>3225</v>
      </c>
      <c r="G17" s="2" t="s">
        <v>17</v>
      </c>
      <c r="H17" t="s">
        <v>76</v>
      </c>
    </row>
    <row r="18" spans="1:12" x14ac:dyDescent="0.3">
      <c r="A18" s="2">
        <v>1954</v>
      </c>
      <c r="B18" s="2" t="s">
        <v>146</v>
      </c>
      <c r="C18" s="2" t="s">
        <v>62</v>
      </c>
      <c r="D18" s="2" t="s">
        <v>144</v>
      </c>
      <c r="E18" s="2" t="s">
        <v>147</v>
      </c>
      <c r="F18" s="2">
        <v>3226</v>
      </c>
      <c r="G18" s="2" t="s">
        <v>17</v>
      </c>
      <c r="H18" t="s">
        <v>98</v>
      </c>
      <c r="L18" s="4"/>
    </row>
    <row r="19" spans="1:12" x14ac:dyDescent="0.3">
      <c r="A19" s="2">
        <v>1799</v>
      </c>
      <c r="B19" s="2" t="s">
        <v>19</v>
      </c>
      <c r="C19" s="2" t="s">
        <v>20</v>
      </c>
      <c r="D19" s="2" t="s">
        <v>10</v>
      </c>
      <c r="E19" s="2" t="s">
        <v>21</v>
      </c>
      <c r="F19" s="2">
        <v>3227</v>
      </c>
      <c r="G19" s="2" t="s">
        <v>12</v>
      </c>
      <c r="H19" t="s">
        <v>22</v>
      </c>
    </row>
    <row r="20" spans="1:12" x14ac:dyDescent="0.3">
      <c r="A20" s="2">
        <v>1872</v>
      </c>
      <c r="B20" s="2" t="s">
        <v>27</v>
      </c>
      <c r="C20" s="2" t="s">
        <v>107</v>
      </c>
      <c r="D20" s="2" t="s">
        <v>35</v>
      </c>
      <c r="E20" s="2" t="s">
        <v>108</v>
      </c>
      <c r="F20" s="2">
        <v>3228</v>
      </c>
      <c r="G20" s="2" t="s">
        <v>34</v>
      </c>
      <c r="H20" t="s">
        <v>98</v>
      </c>
    </row>
    <row r="21" spans="1:12" x14ac:dyDescent="0.3">
      <c r="A21" s="2">
        <v>1950</v>
      </c>
      <c r="B21" s="2" t="s">
        <v>61</v>
      </c>
      <c r="C21" s="2" t="s">
        <v>62</v>
      </c>
      <c r="D21" s="2" t="s">
        <v>58</v>
      </c>
      <c r="E21" s="2" t="s">
        <v>63</v>
      </c>
      <c r="F21" s="2">
        <v>3229</v>
      </c>
      <c r="G21" s="2" t="s">
        <v>17</v>
      </c>
      <c r="H21" t="s">
        <v>47</v>
      </c>
    </row>
    <row r="22" spans="1:12" x14ac:dyDescent="0.3">
      <c r="A22" s="2">
        <v>1972</v>
      </c>
      <c r="B22" s="2" t="s">
        <v>131</v>
      </c>
      <c r="C22" s="2" t="s">
        <v>132</v>
      </c>
      <c r="D22" s="2" t="s">
        <v>123</v>
      </c>
      <c r="E22" s="2" t="s">
        <v>133</v>
      </c>
      <c r="F22" s="2">
        <v>3230</v>
      </c>
      <c r="G22" s="2" t="s">
        <v>34</v>
      </c>
      <c r="H22" t="s">
        <v>39</v>
      </c>
    </row>
    <row r="23" spans="1:12" x14ac:dyDescent="0.3">
      <c r="A23" s="2">
        <v>1185</v>
      </c>
      <c r="B23" s="2" t="s">
        <v>109</v>
      </c>
      <c r="C23" s="2" t="s">
        <v>110</v>
      </c>
      <c r="D23" s="2" t="s">
        <v>35</v>
      </c>
      <c r="E23" s="2" t="s">
        <v>111</v>
      </c>
      <c r="F23" s="2">
        <v>3231</v>
      </c>
      <c r="G23" s="2" t="s">
        <v>12</v>
      </c>
      <c r="H23" t="s">
        <v>83</v>
      </c>
    </row>
    <row r="24" spans="1:12" x14ac:dyDescent="0.3">
      <c r="A24" s="2">
        <v>1369</v>
      </c>
      <c r="B24" s="2" t="s">
        <v>87</v>
      </c>
      <c r="C24" s="2" t="s">
        <v>62</v>
      </c>
      <c r="D24" s="2" t="s">
        <v>79</v>
      </c>
      <c r="E24" s="2" t="s">
        <v>88</v>
      </c>
      <c r="F24" s="2">
        <v>3232</v>
      </c>
      <c r="G24" s="2" t="s">
        <v>17</v>
      </c>
      <c r="H24" t="s">
        <v>83</v>
      </c>
    </row>
    <row r="25" spans="1:12" x14ac:dyDescent="0.3">
      <c r="A25" s="2">
        <v>1212</v>
      </c>
      <c r="B25" s="2" t="s">
        <v>64</v>
      </c>
      <c r="C25" s="2" t="s">
        <v>65</v>
      </c>
      <c r="D25" s="2" t="s">
        <v>58</v>
      </c>
      <c r="E25" s="2" t="s">
        <v>66</v>
      </c>
      <c r="F25" s="2">
        <v>3233</v>
      </c>
      <c r="G25" s="2" t="s">
        <v>12</v>
      </c>
      <c r="H25" t="s">
        <v>60</v>
      </c>
    </row>
    <row r="26" spans="1:12" x14ac:dyDescent="0.3">
      <c r="A26" s="2">
        <v>1175</v>
      </c>
      <c r="B26" s="2" t="s">
        <v>44</v>
      </c>
      <c r="C26" s="2" t="s">
        <v>45</v>
      </c>
      <c r="D26" s="2" t="s">
        <v>32</v>
      </c>
      <c r="E26" s="2" t="s">
        <v>46</v>
      </c>
      <c r="F26" s="2">
        <v>3234</v>
      </c>
      <c r="G26" s="2" t="s">
        <v>17</v>
      </c>
      <c r="H26" t="s">
        <v>47</v>
      </c>
    </row>
    <row r="27" spans="1:12" x14ac:dyDescent="0.3">
      <c r="A27" s="2">
        <v>1459</v>
      </c>
      <c r="B27" s="2" t="s">
        <v>89</v>
      </c>
      <c r="C27" s="2" t="s">
        <v>90</v>
      </c>
      <c r="D27" s="2" t="s">
        <v>79</v>
      </c>
      <c r="E27" s="2" t="s">
        <v>91</v>
      </c>
      <c r="F27" s="2">
        <v>3235</v>
      </c>
      <c r="G27" s="2" t="s">
        <v>17</v>
      </c>
      <c r="H27" t="s">
        <v>18</v>
      </c>
    </row>
    <row r="28" spans="1:12" x14ac:dyDescent="0.3">
      <c r="A28" s="2">
        <v>1589</v>
      </c>
      <c r="B28" s="2" t="s">
        <v>148</v>
      </c>
      <c r="C28" s="2" t="s">
        <v>149</v>
      </c>
      <c r="D28" s="2" t="s">
        <v>144</v>
      </c>
      <c r="E28" s="2" t="s">
        <v>150</v>
      </c>
      <c r="F28" s="2">
        <v>3236</v>
      </c>
      <c r="G28" s="2" t="s">
        <v>12</v>
      </c>
      <c r="H28" t="s">
        <v>151</v>
      </c>
    </row>
    <row r="29" spans="1:12" x14ac:dyDescent="0.3">
      <c r="A29" s="2">
        <v>1566</v>
      </c>
      <c r="B29" s="2" t="s">
        <v>67</v>
      </c>
      <c r="C29" s="2" t="s">
        <v>68</v>
      </c>
      <c r="D29" s="2" t="s">
        <v>58</v>
      </c>
      <c r="E29" s="2" t="s">
        <v>69</v>
      </c>
      <c r="F29" s="2">
        <v>3237</v>
      </c>
      <c r="G29" s="2" t="s">
        <v>12</v>
      </c>
      <c r="H29" t="s">
        <v>13</v>
      </c>
    </row>
    <row r="30" spans="1:12" x14ac:dyDescent="0.3">
      <c r="A30" s="2">
        <v>1532</v>
      </c>
      <c r="B30" s="2" t="s">
        <v>112</v>
      </c>
      <c r="C30" s="2" t="s">
        <v>113</v>
      </c>
      <c r="D30" s="2" t="s">
        <v>35</v>
      </c>
      <c r="E30" s="2" t="s">
        <v>114</v>
      </c>
      <c r="F30" s="2">
        <v>3238</v>
      </c>
      <c r="G30" s="2" t="s">
        <v>34</v>
      </c>
      <c r="H30" t="s">
        <v>26</v>
      </c>
    </row>
    <row r="31" spans="1:12" x14ac:dyDescent="0.3">
      <c r="A31" s="2">
        <v>1794</v>
      </c>
      <c r="B31" s="2" t="s">
        <v>48</v>
      </c>
      <c r="C31" s="2" t="s">
        <v>49</v>
      </c>
      <c r="D31" s="2" t="s">
        <v>32</v>
      </c>
      <c r="E31" s="2" t="s">
        <v>50</v>
      </c>
      <c r="F31" s="2">
        <v>3239</v>
      </c>
      <c r="G31" s="2" t="s">
        <v>17</v>
      </c>
      <c r="H31" t="s">
        <v>26</v>
      </c>
    </row>
    <row r="32" spans="1:12" x14ac:dyDescent="0.3">
      <c r="A32" s="2">
        <v>1788</v>
      </c>
      <c r="B32" s="2" t="s">
        <v>134</v>
      </c>
      <c r="C32" s="2" t="s">
        <v>135</v>
      </c>
      <c r="D32" s="2" t="s">
        <v>123</v>
      </c>
      <c r="E32" s="2" t="s">
        <v>136</v>
      </c>
      <c r="F32" s="2">
        <v>3240</v>
      </c>
      <c r="G32" s="2" t="s">
        <v>17</v>
      </c>
      <c r="H32" t="s">
        <v>43</v>
      </c>
    </row>
    <row r="33" spans="1:8" x14ac:dyDescent="0.3">
      <c r="A33" s="2">
        <v>1876</v>
      </c>
      <c r="B33" s="2" t="s">
        <v>23</v>
      </c>
      <c r="C33" s="2" t="s">
        <v>24</v>
      </c>
      <c r="D33" s="2" t="s">
        <v>10</v>
      </c>
      <c r="E33" s="2" t="s">
        <v>25</v>
      </c>
      <c r="F33" s="2">
        <v>3241</v>
      </c>
      <c r="G33" s="2" t="s">
        <v>12</v>
      </c>
      <c r="H33" t="s">
        <v>26</v>
      </c>
    </row>
    <row r="34" spans="1:8" x14ac:dyDescent="0.3">
      <c r="A34" s="2">
        <v>1469</v>
      </c>
      <c r="B34" s="2" t="s">
        <v>51</v>
      </c>
      <c r="C34" s="2" t="s">
        <v>52</v>
      </c>
      <c r="D34" s="2" t="s">
        <v>32</v>
      </c>
      <c r="E34" s="2" t="s">
        <v>53</v>
      </c>
      <c r="F34" s="2">
        <v>3242</v>
      </c>
      <c r="G34" s="2" t="s">
        <v>12</v>
      </c>
      <c r="H34" t="s">
        <v>18</v>
      </c>
    </row>
    <row r="35" spans="1:8" x14ac:dyDescent="0.3">
      <c r="A35" s="2">
        <v>1692</v>
      </c>
      <c r="B35" s="2" t="s">
        <v>137</v>
      </c>
      <c r="C35" s="2" t="s">
        <v>138</v>
      </c>
      <c r="D35" s="2" t="s">
        <v>123</v>
      </c>
      <c r="E35" s="2" t="s">
        <v>139</v>
      </c>
      <c r="F35" s="2">
        <v>3243</v>
      </c>
      <c r="G35" s="2" t="s">
        <v>34</v>
      </c>
      <c r="H35" t="s">
        <v>60</v>
      </c>
    </row>
    <row r="36" spans="1:8" x14ac:dyDescent="0.3">
      <c r="A36" s="2">
        <v>1650</v>
      </c>
      <c r="B36" s="2" t="s">
        <v>92</v>
      </c>
      <c r="C36" s="2" t="s">
        <v>93</v>
      </c>
      <c r="D36" s="2" t="s">
        <v>79</v>
      </c>
      <c r="E36" s="2" t="s">
        <v>94</v>
      </c>
      <c r="F36" s="2">
        <v>3244</v>
      </c>
      <c r="G36" s="2" t="s">
        <v>34</v>
      </c>
      <c r="H36" t="s">
        <v>60</v>
      </c>
    </row>
    <row r="37" spans="1:8" x14ac:dyDescent="0.3">
      <c r="A37" s="2">
        <v>1339</v>
      </c>
      <c r="B37" s="2" t="s">
        <v>70</v>
      </c>
      <c r="C37" s="2" t="s">
        <v>71</v>
      </c>
      <c r="D37" s="2" t="s">
        <v>58</v>
      </c>
      <c r="E37" s="2" t="s">
        <v>72</v>
      </c>
      <c r="F37" s="2">
        <v>3245</v>
      </c>
      <c r="G37" s="2" t="s">
        <v>12</v>
      </c>
      <c r="H37" t="s">
        <v>47</v>
      </c>
    </row>
    <row r="38" spans="1:8" x14ac:dyDescent="0.3">
      <c r="A38" s="2">
        <v>1980</v>
      </c>
      <c r="B38" s="2" t="s">
        <v>27</v>
      </c>
      <c r="C38" s="2" t="s">
        <v>28</v>
      </c>
      <c r="D38" s="2" t="s">
        <v>10</v>
      </c>
      <c r="E38" s="2" t="s">
        <v>29</v>
      </c>
      <c r="F38" s="2">
        <v>3246</v>
      </c>
      <c r="G38" s="2" t="s">
        <v>12</v>
      </c>
      <c r="H38" t="s">
        <v>22</v>
      </c>
    </row>
    <row r="39" spans="1:8" x14ac:dyDescent="0.3">
      <c r="A39" s="2">
        <v>1378</v>
      </c>
      <c r="B39" s="2" t="s">
        <v>115</v>
      </c>
      <c r="C39" s="2" t="s">
        <v>116</v>
      </c>
      <c r="D39" s="2" t="s">
        <v>35</v>
      </c>
      <c r="E39" s="2" t="s">
        <v>117</v>
      </c>
      <c r="F39" s="2">
        <v>3247</v>
      </c>
      <c r="G39" s="2" t="s">
        <v>17</v>
      </c>
      <c r="H39" t="s">
        <v>13</v>
      </c>
    </row>
    <row r="40" spans="1:8" x14ac:dyDescent="0.3">
      <c r="A40" s="2">
        <v>1923</v>
      </c>
      <c r="B40" s="2" t="s">
        <v>140</v>
      </c>
      <c r="C40" s="2" t="s">
        <v>141</v>
      </c>
      <c r="D40" s="2" t="s">
        <v>123</v>
      </c>
      <c r="E40" s="2" t="s">
        <v>142</v>
      </c>
      <c r="F40" s="2">
        <v>3248</v>
      </c>
      <c r="G40" s="2" t="s">
        <v>17</v>
      </c>
      <c r="H40" t="s">
        <v>76</v>
      </c>
    </row>
    <row r="41" spans="1:8" x14ac:dyDescent="0.3">
      <c r="A41" s="2">
        <v>1221</v>
      </c>
      <c r="B41" s="2" t="s">
        <v>95</v>
      </c>
      <c r="C41" s="2" t="s">
        <v>96</v>
      </c>
      <c r="D41" s="2" t="s">
        <v>79</v>
      </c>
      <c r="E41" s="2" t="s">
        <v>97</v>
      </c>
      <c r="F41" s="2">
        <v>3249</v>
      </c>
      <c r="G41" s="2" t="s">
        <v>12</v>
      </c>
      <c r="H41" t="s">
        <v>98</v>
      </c>
    </row>
    <row r="42" spans="1:8" x14ac:dyDescent="0.3">
      <c r="A42" s="2">
        <v>1958</v>
      </c>
      <c r="B42" s="2" t="s">
        <v>73</v>
      </c>
      <c r="C42" s="2" t="s">
        <v>74</v>
      </c>
      <c r="D42" s="2" t="s">
        <v>58</v>
      </c>
      <c r="E42" s="2" t="s">
        <v>75</v>
      </c>
      <c r="F42" s="2">
        <v>3250</v>
      </c>
      <c r="G42" s="2" t="s">
        <v>17</v>
      </c>
      <c r="H42" t="s">
        <v>76</v>
      </c>
    </row>
    <row r="43" spans="1:8" x14ac:dyDescent="0.3">
      <c r="A43" s="2">
        <v>1419</v>
      </c>
      <c r="B43" s="2" t="s">
        <v>54</v>
      </c>
      <c r="C43" s="2" t="s">
        <v>55</v>
      </c>
      <c r="D43" s="2" t="s">
        <v>32</v>
      </c>
      <c r="E43" s="2" t="s">
        <v>56</v>
      </c>
      <c r="F43" s="2">
        <v>3251</v>
      </c>
      <c r="G43" s="2" t="s">
        <v>34</v>
      </c>
      <c r="H43" t="s">
        <v>47</v>
      </c>
    </row>
    <row r="44" spans="1:8" x14ac:dyDescent="0.3">
      <c r="A44" s="2">
        <v>1590</v>
      </c>
      <c r="B44" s="2" t="s">
        <v>118</v>
      </c>
      <c r="C44" s="2" t="s">
        <v>119</v>
      </c>
      <c r="D44" s="2" t="s">
        <v>35</v>
      </c>
      <c r="E44" s="2" t="s">
        <v>120</v>
      </c>
      <c r="F44" s="2">
        <v>3252</v>
      </c>
      <c r="G44" s="2" t="s">
        <v>12</v>
      </c>
      <c r="H44" t="s">
        <v>13</v>
      </c>
    </row>
    <row r="45" spans="1:8" x14ac:dyDescent="0.3">
      <c r="A45" s="2"/>
      <c r="B45" s="2"/>
      <c r="C45" s="2"/>
      <c r="D45" s="2"/>
      <c r="E45" s="2"/>
      <c r="F45" s="2">
        <f>SUM(F2:F44)</f>
        <v>138933</v>
      </c>
      <c r="G45" s="2"/>
    </row>
    <row r="50" spans="6:6" x14ac:dyDescent="0.3">
      <c r="F50">
        <f>SUBTOTAL(9,F4:F44)</f>
        <v>132512</v>
      </c>
    </row>
  </sheetData>
  <dataValidations count="1">
    <dataValidation type="textLength" allowBlank="1" showInputMessage="1" showErrorMessage="1" sqref="L13" xr:uid="{F5A22A6B-6C19-4B97-8D13-20FA002E589B}">
      <formula1>1</formula1>
      <formula2>20</formula2>
    </dataValidation>
  </dataValidations>
  <pageMargins left="0.7" right="0.7" top="0.75" bottom="0.75" header="0.3" footer="0.3"/>
  <cellWatches>
    <cellWatch r="L5"/>
  </cellWatche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724942E2-3D0A-4A80-A09D-8FA3BB48668C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B903CA4B-61A4-49D5-944D-06E6D2DEEBEA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Aditya Pabbineedi</cp:lastModifiedBy>
  <dcterms:created xsi:type="dcterms:W3CDTF">2026-09-08T06:10:53Z</dcterms:created>
  <dcterms:modified xsi:type="dcterms:W3CDTF">2026-09-25T06:25:25Z</dcterms:modified>
</cp:coreProperties>
</file>