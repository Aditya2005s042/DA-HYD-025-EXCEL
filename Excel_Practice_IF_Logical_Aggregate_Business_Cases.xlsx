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8b4505378d7763/Desktop/My Excel Practice/Excel Functions/"/>
    </mc:Choice>
  </mc:AlternateContent>
  <xr:revisionPtr revIDLastSave="144" documentId="8_{9AE89255-F39B-474A-9DF9-9573478CE197}" xr6:coauthVersionLast="47" xr6:coauthVersionMax="47" xr10:uidLastSave="{E8D8C434-04B7-4D5F-B6FD-402300555EDE}"/>
  <bookViews>
    <workbookView xWindow="-108" yWindow="-108" windowWidth="23256" windowHeight="12456" activeTab="3" xr2:uid="{00000000-000D-0000-FFFF-FFFF00000000}"/>
  </bookViews>
  <sheets>
    <sheet name="Sheet3" sheetId="9" r:id="rId1"/>
    <sheet name="Sheet4" sheetId="10" r:id="rId2"/>
    <sheet name="Practice_Data" sheetId="1" r:id="rId3"/>
    <sheet name="Aggregate_Practice" sheetId="3" r:id="rId4"/>
    <sheet name="Practice_Questions" sheetId="2" r:id="rId5"/>
    <sheet name="Business_Cases" sheetId="4" r:id="rId6"/>
    <sheet name="Answer_Key" sheetId="5" r:id="rId7"/>
    <sheet name="Concept_Checklist" sheetId="6" r:id="rId8"/>
  </sheets>
  <definedNames>
    <definedName name="_xlnm._FilterDatabase" localSheetId="2" hidden="1">Practice_Data!$A$4:$R$54</definedName>
    <definedName name="_xlcn.WorksheetConnection_Excel_Practice_IF_Logical_Aggregate_Business_Cases.xlsxOrders1" hidden="1">Orders[]</definedName>
  </definedNames>
  <calcPr calcId="191029"/>
  <pivotCaches>
    <pivotCache cacheId="1" r:id="rId9"/>
    <pivotCache cacheId="2" r:id="rId10"/>
  </pivotCaches>
  <extLst>
    <ext xmlns:x15="http://schemas.microsoft.com/office/spreadsheetml/2010/11/main" uri="{FCE2AD5D-F65C-4FA6-A056-5C36A1767C68}">
      <x15:dataModel>
        <x15:modelTables>
          <x15:modelTable id="Orders" name="Orders" connection="WorksheetConnection_Excel_Practice_IF_Logical_Aggregate_Business_Cases.xlsx!Ord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" l="1"/>
  <c r="D12" i="3"/>
  <c r="D11" i="3"/>
  <c r="D10" i="3"/>
  <c r="D9" i="3"/>
  <c r="D8" i="3"/>
  <c r="D7" i="3"/>
  <c r="D6" i="3"/>
  <c r="D5" i="3"/>
  <c r="D4" i="3"/>
  <c r="B10" i="5"/>
  <c r="B8" i="5"/>
  <c r="D6" i="6"/>
  <c r="D7" i="6"/>
  <c r="D8" i="6"/>
  <c r="D9" i="6"/>
  <c r="D10" i="6"/>
  <c r="D11" i="6"/>
  <c r="D12" i="6"/>
  <c r="D13" i="6"/>
  <c r="D14" i="6"/>
  <c r="D15" i="6"/>
  <c r="D16" i="6"/>
  <c r="D5" i="6"/>
  <c r="B4" i="5"/>
  <c r="E4" i="3"/>
  <c r="P79" i="3"/>
  <c r="O79" i="3" a="1"/>
  <c r="O79" i="3" s="1"/>
  <c r="N79" i="3"/>
  <c r="M79" i="3"/>
  <c r="L79" i="3"/>
  <c r="K79" i="3"/>
  <c r="P78" i="3"/>
  <c r="O78" i="3" a="1"/>
  <c r="O78" i="3" s="1"/>
  <c r="N78" i="3"/>
  <c r="M78" i="3"/>
  <c r="L78" i="3"/>
  <c r="K78" i="3"/>
  <c r="P77" i="3"/>
  <c r="O77" i="3"/>
  <c r="O77" i="3" a="1"/>
  <c r="N77" i="3"/>
  <c r="M77" i="3"/>
  <c r="L77" i="3"/>
  <c r="K77" i="3"/>
  <c r="P76" i="3"/>
  <c r="O76" i="3"/>
  <c r="O76" i="3" a="1"/>
  <c r="N76" i="3"/>
  <c r="M76" i="3"/>
  <c r="L76" i="3"/>
  <c r="K76" i="3"/>
  <c r="P75" i="3"/>
  <c r="O75" i="3"/>
  <c r="O75" i="3" a="1"/>
  <c r="N75" i="3"/>
  <c r="M75" i="3"/>
  <c r="L75" i="3"/>
  <c r="K75" i="3"/>
  <c r="P74" i="3"/>
  <c r="O74" i="3" a="1"/>
  <c r="O74" i="3" s="1"/>
  <c r="N74" i="3"/>
  <c r="M74" i="3"/>
  <c r="L74" i="3"/>
  <c r="K74" i="3"/>
  <c r="P73" i="3"/>
  <c r="O73" i="3" a="1"/>
  <c r="O73" i="3" s="1"/>
  <c r="N73" i="3"/>
  <c r="M73" i="3"/>
  <c r="L73" i="3"/>
  <c r="K73" i="3"/>
  <c r="P72" i="3"/>
  <c r="O72" i="3" a="1"/>
  <c r="O72" i="3" s="1"/>
  <c r="N72" i="3"/>
  <c r="M72" i="3"/>
  <c r="L72" i="3"/>
  <c r="K72" i="3"/>
  <c r="P71" i="3"/>
  <c r="O71" i="3" a="1"/>
  <c r="O71" i="3" s="1"/>
  <c r="N71" i="3"/>
  <c r="M71" i="3"/>
  <c r="L71" i="3"/>
  <c r="K71" i="3"/>
  <c r="P70" i="3"/>
  <c r="O70" i="3" a="1"/>
  <c r="O70" i="3" s="1"/>
  <c r="N70" i="3"/>
  <c r="M70" i="3"/>
  <c r="L70" i="3"/>
  <c r="K70" i="3"/>
  <c r="P69" i="3"/>
  <c r="O69" i="3" a="1"/>
  <c r="O69" i="3" s="1"/>
  <c r="N69" i="3"/>
  <c r="M69" i="3"/>
  <c r="L69" i="3"/>
  <c r="K69" i="3"/>
  <c r="P68" i="3"/>
  <c r="O68" i="3"/>
  <c r="O68" i="3" a="1"/>
  <c r="N68" i="3"/>
  <c r="M68" i="3"/>
  <c r="L68" i="3"/>
  <c r="K68" i="3"/>
  <c r="P67" i="3"/>
  <c r="O67" i="3" a="1"/>
  <c r="O67" i="3" s="1"/>
  <c r="N67" i="3"/>
  <c r="M67" i="3"/>
  <c r="L67" i="3"/>
  <c r="K67" i="3"/>
  <c r="P66" i="3"/>
  <c r="O66" i="3"/>
  <c r="O66" i="3" a="1"/>
  <c r="N66" i="3"/>
  <c r="M66" i="3"/>
  <c r="L66" i="3"/>
  <c r="K66" i="3"/>
  <c r="P65" i="3"/>
  <c r="O65" i="3"/>
  <c r="O65" i="3" a="1"/>
  <c r="N65" i="3"/>
  <c r="M65" i="3"/>
  <c r="L65" i="3"/>
  <c r="K65" i="3"/>
  <c r="P64" i="3"/>
  <c r="O64" i="3"/>
  <c r="O64" i="3" a="1"/>
  <c r="N64" i="3"/>
  <c r="M64" i="3"/>
  <c r="L64" i="3"/>
  <c r="K64" i="3"/>
  <c r="P63" i="3"/>
  <c r="O63" i="3"/>
  <c r="O63" i="3" a="1"/>
  <c r="N63" i="3"/>
  <c r="M63" i="3"/>
  <c r="L63" i="3"/>
  <c r="K63" i="3"/>
  <c r="P62" i="3"/>
  <c r="O62" i="3" a="1"/>
  <c r="O62" i="3" s="1"/>
  <c r="N62" i="3"/>
  <c r="M62" i="3"/>
  <c r="L62" i="3"/>
  <c r="K62" i="3"/>
  <c r="P61" i="3"/>
  <c r="O61" i="3" a="1"/>
  <c r="O61" i="3" s="1"/>
  <c r="N61" i="3"/>
  <c r="M61" i="3"/>
  <c r="L61" i="3"/>
  <c r="K61" i="3"/>
  <c r="P60" i="3"/>
  <c r="O60" i="3" a="1"/>
  <c r="O60" i="3" s="1"/>
  <c r="N60" i="3"/>
  <c r="M60" i="3"/>
  <c r="L60" i="3"/>
  <c r="K60" i="3"/>
  <c r="P59" i="3"/>
  <c r="O59" i="3" a="1"/>
  <c r="O59" i="3" s="1"/>
  <c r="N59" i="3"/>
  <c r="M59" i="3"/>
  <c r="L59" i="3"/>
  <c r="K59" i="3"/>
  <c r="P58" i="3"/>
  <c r="O58" i="3" a="1"/>
  <c r="O58" i="3" s="1"/>
  <c r="N58" i="3"/>
  <c r="M58" i="3"/>
  <c r="L58" i="3"/>
  <c r="K58" i="3"/>
  <c r="P57" i="3"/>
  <c r="O57" i="3" a="1"/>
  <c r="O57" i="3" s="1"/>
  <c r="N57" i="3"/>
  <c r="M57" i="3"/>
  <c r="L57" i="3"/>
  <c r="K57" i="3"/>
  <c r="P56" i="3"/>
  <c r="O56" i="3"/>
  <c r="O56" i="3" a="1"/>
  <c r="N56" i="3"/>
  <c r="M56" i="3"/>
  <c r="L56" i="3"/>
  <c r="K56" i="3"/>
  <c r="P55" i="3"/>
  <c r="O55" i="3" a="1"/>
  <c r="O55" i="3" s="1"/>
  <c r="N55" i="3"/>
  <c r="M55" i="3"/>
  <c r="L55" i="3"/>
  <c r="K55" i="3"/>
  <c r="P54" i="3"/>
  <c r="O54" i="3"/>
  <c r="O54" i="3" a="1"/>
  <c r="N54" i="3"/>
  <c r="M54" i="3"/>
  <c r="L54" i="3"/>
  <c r="K54" i="3"/>
  <c r="P53" i="3"/>
  <c r="O53" i="3"/>
  <c r="O53" i="3" a="1"/>
  <c r="N53" i="3"/>
  <c r="M53" i="3"/>
  <c r="L53" i="3"/>
  <c r="K53" i="3"/>
  <c r="P52" i="3"/>
  <c r="O52" i="3"/>
  <c r="O52" i="3" a="1"/>
  <c r="N52" i="3"/>
  <c r="M52" i="3"/>
  <c r="L52" i="3"/>
  <c r="K52" i="3"/>
  <c r="P51" i="3"/>
  <c r="O51" i="3"/>
  <c r="O51" i="3" a="1"/>
  <c r="N51" i="3"/>
  <c r="M51" i="3"/>
  <c r="L51" i="3"/>
  <c r="K51" i="3"/>
  <c r="P50" i="3"/>
  <c r="O50" i="3" a="1"/>
  <c r="O50" i="3" s="1"/>
  <c r="N50" i="3"/>
  <c r="M50" i="3"/>
  <c r="L50" i="3"/>
  <c r="K50" i="3"/>
  <c r="P49" i="3"/>
  <c r="O49" i="3" a="1"/>
  <c r="O49" i="3" s="1"/>
  <c r="N49" i="3"/>
  <c r="M49" i="3"/>
  <c r="L49" i="3"/>
  <c r="K49" i="3"/>
  <c r="P48" i="3"/>
  <c r="O48" i="3" a="1"/>
  <c r="O48" i="3" s="1"/>
  <c r="N48" i="3"/>
  <c r="M48" i="3"/>
  <c r="L48" i="3"/>
  <c r="K48" i="3"/>
  <c r="P47" i="3"/>
  <c r="O47" i="3" a="1"/>
  <c r="O47" i="3" s="1"/>
  <c r="N47" i="3"/>
  <c r="M47" i="3"/>
  <c r="L47" i="3"/>
  <c r="K47" i="3"/>
  <c r="P46" i="3"/>
  <c r="O46" i="3" a="1"/>
  <c r="O46" i="3" s="1"/>
  <c r="N46" i="3"/>
  <c r="M46" i="3"/>
  <c r="L46" i="3"/>
  <c r="K46" i="3"/>
  <c r="P45" i="3"/>
  <c r="O45" i="3" a="1"/>
  <c r="O45" i="3" s="1"/>
  <c r="N45" i="3"/>
  <c r="M45" i="3"/>
  <c r="L45" i="3"/>
  <c r="K45" i="3"/>
  <c r="P44" i="3"/>
  <c r="O44" i="3"/>
  <c r="O44" i="3" a="1"/>
  <c r="N44" i="3"/>
  <c r="M44" i="3"/>
  <c r="L44" i="3"/>
  <c r="K44" i="3"/>
  <c r="P43" i="3"/>
  <c r="O43" i="3" a="1"/>
  <c r="O43" i="3" s="1"/>
  <c r="N43" i="3"/>
  <c r="M43" i="3"/>
  <c r="L43" i="3"/>
  <c r="K43" i="3"/>
  <c r="P42" i="3"/>
  <c r="O42" i="3"/>
  <c r="O42" i="3" a="1"/>
  <c r="N42" i="3"/>
  <c r="M42" i="3"/>
  <c r="L42" i="3"/>
  <c r="K42" i="3"/>
  <c r="P41" i="3"/>
  <c r="O41" i="3"/>
  <c r="O41" i="3" a="1"/>
  <c r="N41" i="3"/>
  <c r="M41" i="3"/>
  <c r="L41" i="3"/>
  <c r="K41" i="3"/>
  <c r="P40" i="3"/>
  <c r="O40" i="3"/>
  <c r="O40" i="3" a="1"/>
  <c r="N40" i="3"/>
  <c r="M40" i="3"/>
  <c r="L40" i="3"/>
  <c r="K40" i="3"/>
  <c r="P39" i="3"/>
  <c r="O39" i="3" a="1"/>
  <c r="O39" i="3" s="1"/>
  <c r="N39" i="3"/>
  <c r="M39" i="3"/>
  <c r="L39" i="3"/>
  <c r="K39" i="3"/>
  <c r="P38" i="3"/>
  <c r="O38" i="3" a="1"/>
  <c r="O38" i="3" s="1"/>
  <c r="N38" i="3"/>
  <c r="M38" i="3"/>
  <c r="L38" i="3"/>
  <c r="K38" i="3"/>
  <c r="P37" i="3"/>
  <c r="O37" i="3" a="1"/>
  <c r="O37" i="3" s="1"/>
  <c r="N37" i="3"/>
  <c r="M37" i="3"/>
  <c r="L37" i="3"/>
  <c r="K37" i="3"/>
  <c r="P36" i="3"/>
  <c r="O36" i="3" a="1"/>
  <c r="O36" i="3" s="1"/>
  <c r="N36" i="3"/>
  <c r="M36" i="3"/>
  <c r="L36" i="3"/>
  <c r="K36" i="3"/>
  <c r="P35" i="3"/>
  <c r="O35" i="3" a="1"/>
  <c r="O35" i="3" s="1"/>
  <c r="N35" i="3"/>
  <c r="M35" i="3"/>
  <c r="L35" i="3"/>
  <c r="K35" i="3"/>
  <c r="P34" i="3"/>
  <c r="O34" i="3" a="1"/>
  <c r="O34" i="3" s="1"/>
  <c r="N34" i="3"/>
  <c r="M34" i="3"/>
  <c r="L34" i="3"/>
  <c r="K34" i="3"/>
  <c r="P33" i="3"/>
  <c r="O33" i="3" a="1"/>
  <c r="O33" i="3" s="1"/>
  <c r="N33" i="3"/>
  <c r="M33" i="3"/>
  <c r="L33" i="3"/>
  <c r="K33" i="3"/>
  <c r="P32" i="3"/>
  <c r="O32" i="3"/>
  <c r="O32" i="3" a="1"/>
  <c r="N32" i="3"/>
  <c r="M32" i="3"/>
  <c r="L32" i="3"/>
  <c r="K32" i="3"/>
  <c r="P31" i="3"/>
  <c r="O31" i="3" a="1"/>
  <c r="O31" i="3" s="1"/>
  <c r="N31" i="3"/>
  <c r="M31" i="3"/>
  <c r="L31" i="3"/>
  <c r="K31" i="3"/>
  <c r="P30" i="3"/>
  <c r="O30" i="3"/>
  <c r="O30" i="3" a="1"/>
  <c r="N30" i="3"/>
  <c r="M30" i="3"/>
  <c r="L30" i="3"/>
  <c r="K30" i="3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" i="1"/>
  <c r="O6" i="1" a="1"/>
  <c r="O6" i="1"/>
  <c r="O7" i="1" a="1"/>
  <c r="O7" i="1"/>
  <c r="O8" i="1" a="1"/>
  <c r="O8" i="1"/>
  <c r="O9" i="1" a="1"/>
  <c r="O9" i="1"/>
  <c r="O10" i="1" a="1"/>
  <c r="O10" i="1"/>
  <c r="O11" i="1" a="1"/>
  <c r="O11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/>
  <c r="O26" i="1" a="1"/>
  <c r="O26" i="1"/>
  <c r="O27" i="1" a="1"/>
  <c r="O27" i="1"/>
  <c r="O28" i="1" a="1"/>
  <c r="O28" i="1"/>
  <c r="O29" i="1" a="1"/>
  <c r="O29" i="1"/>
  <c r="O30" i="1" a="1"/>
  <c r="O30" i="1"/>
  <c r="O31" i="1" a="1"/>
  <c r="O31" i="1"/>
  <c r="O32" i="1" a="1"/>
  <c r="O32" i="1"/>
  <c r="O33" i="1" a="1"/>
  <c r="O33" i="1"/>
  <c r="O34" i="1" a="1"/>
  <c r="O34" i="1"/>
  <c r="O35" i="1" a="1"/>
  <c r="O35" i="1"/>
  <c r="O36" i="1" a="1"/>
  <c r="O36" i="1"/>
  <c r="O37" i="1" a="1"/>
  <c r="O37" i="1"/>
  <c r="O38" i="1" a="1"/>
  <c r="O38" i="1"/>
  <c r="O39" i="1" a="1"/>
  <c r="O39" i="1"/>
  <c r="O40" i="1" a="1"/>
  <c r="O40" i="1"/>
  <c r="O41" i="1" a="1"/>
  <c r="O41" i="1"/>
  <c r="O42" i="1" a="1"/>
  <c r="O42" i="1"/>
  <c r="O43" i="1" a="1"/>
  <c r="O43" i="1"/>
  <c r="O44" i="1" a="1"/>
  <c r="O44" i="1"/>
  <c r="O45" i="1" a="1"/>
  <c r="O45" i="1"/>
  <c r="O46" i="1" a="1"/>
  <c r="O46" i="1"/>
  <c r="O47" i="1" a="1"/>
  <c r="O47" i="1"/>
  <c r="O48" i="1" a="1"/>
  <c r="O48" i="1"/>
  <c r="O49" i="1" a="1"/>
  <c r="O49" i="1"/>
  <c r="O50" i="1" a="1"/>
  <c r="O50" i="1"/>
  <c r="O51" i="1" a="1"/>
  <c r="O51" i="1"/>
  <c r="O52" i="1" a="1"/>
  <c r="O52" i="1"/>
  <c r="O53" i="1" a="1"/>
  <c r="O53" i="1"/>
  <c r="O54" i="1" a="1"/>
  <c r="O54" i="1"/>
  <c r="O5" i="1" a="1"/>
  <c r="O5" i="1" s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B20" i="5"/>
  <c r="B19" i="5"/>
  <c r="B18" i="5"/>
  <c r="B17" i="5"/>
  <c r="B16" i="5"/>
  <c r="B15" i="5"/>
  <c r="B14" i="5"/>
  <c r="B13" i="5"/>
  <c r="B12" i="5"/>
  <c r="B11" i="5"/>
  <c r="B9" i="5"/>
  <c r="B7" i="5"/>
  <c r="B6" i="5"/>
  <c r="B5" i="5"/>
  <c r="E18" i="3"/>
  <c r="E17" i="3"/>
  <c r="E16" i="3"/>
  <c r="E15" i="3"/>
  <c r="E14" i="3"/>
  <c r="E8" i="3"/>
  <c r="E7" i="3"/>
  <c r="E13" i="3" l="1"/>
  <c r="E12" i="3"/>
  <c r="E9" i="3"/>
  <c r="E11" i="3"/>
  <c r="E5" i="3"/>
  <c r="E6" i="3" l="1"/>
  <c r="E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E5EE75-6038-4867-BBE8-275F5D8530D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D74892B-4B9A-470D-919B-5682365A3638}" name="WorksheetConnection_Excel_Practice_IF_Logical_Aggregate_Business_Cases.xlsx!Orders" type="102" refreshedVersion="8" minRefreshableVersion="5">
    <extLst>
      <ext xmlns:x15="http://schemas.microsoft.com/office/spreadsheetml/2010/11/main" uri="{DE250136-89BD-433C-8126-D09CA5730AF9}">
        <x15:connection id="Orders" autoDelete="1">
          <x15:rangePr sourceName="_xlcn.WorksheetConnection_Excel_Practice_IF_Logical_Aggregate_Business_Cases.xlsxOrder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<sst xmlns="http://schemas.openxmlformats.org/spreadsheetml/2006/main" count="891" uniqueCount="266">
  <si>
    <t>EXCEL PRACTICE WORKBOOK — LOGICAL + AGGREGATE FUNCTIONS</t>
  </si>
  <si>
    <t>Enter formulas only in the yellow columns. Use the same formula in the first row and copy it down.</t>
  </si>
  <si>
    <t>Order_ID</t>
  </si>
  <si>
    <t>Customer_Name</t>
  </si>
  <si>
    <t>Age</t>
  </si>
  <si>
    <t>Region</t>
  </si>
  <si>
    <t>Product_Category</t>
  </si>
  <si>
    <t>Sales_Amount</t>
  </si>
  <si>
    <t>Payment_Status</t>
  </si>
  <si>
    <t>Delivery_Days</t>
  </si>
  <si>
    <t>Sales_Rep</t>
  </si>
  <si>
    <t>Customer_Rating</t>
  </si>
  <si>
    <t>IF_Result</t>
  </si>
  <si>
    <t>AND_Result</t>
  </si>
  <si>
    <t>OR_Result</t>
  </si>
  <si>
    <t>NOT_Result</t>
  </si>
  <si>
    <t>SWITCH_Result</t>
  </si>
  <si>
    <t>Nested_IF_Result</t>
  </si>
  <si>
    <t>Business_Class</t>
  </si>
  <si>
    <t>Risk_Flag</t>
  </si>
  <si>
    <t>ORD001</t>
  </si>
  <si>
    <t>Swathi</t>
  </si>
  <si>
    <t>East</t>
  </si>
  <si>
    <t>Electronics</t>
  </si>
  <si>
    <t>Paid</t>
  </si>
  <si>
    <t>Sanjay</t>
  </si>
  <si>
    <t>ORD002</t>
  </si>
  <si>
    <t>Nikhil</t>
  </si>
  <si>
    <t>Mohan</t>
  </si>
  <si>
    <t>ORD003</t>
  </si>
  <si>
    <t>Arun</t>
  </si>
  <si>
    <t>North</t>
  </si>
  <si>
    <t>Clothing</t>
  </si>
  <si>
    <t>Pending</t>
  </si>
  <si>
    <t>Anil</t>
  </si>
  <si>
    <t>ORD004</t>
  </si>
  <si>
    <t>Keerthi</t>
  </si>
  <si>
    <t>West</t>
  </si>
  <si>
    <t>Ravi</t>
  </si>
  <si>
    <t>ORD005</t>
  </si>
  <si>
    <t>Suresh</t>
  </si>
  <si>
    <t>Books</t>
  </si>
  <si>
    <t>ORD006</t>
  </si>
  <si>
    <t>Naveen</t>
  </si>
  <si>
    <t>Furniture</t>
  </si>
  <si>
    <t>ORD007</t>
  </si>
  <si>
    <t>Harsha</t>
  </si>
  <si>
    <t>Central</t>
  </si>
  <si>
    <t>ORD008</t>
  </si>
  <si>
    <t>South</t>
  </si>
  <si>
    <t>ORD009</t>
  </si>
  <si>
    <t>Vijay</t>
  </si>
  <si>
    <t>ORD010</t>
  </si>
  <si>
    <t>ORD011</t>
  </si>
  <si>
    <t>ORD012</t>
  </si>
  <si>
    <t>Rohit</t>
  </si>
  <si>
    <t>ORD013</t>
  </si>
  <si>
    <t>Kavya</t>
  </si>
  <si>
    <t>ORD014</t>
  </si>
  <si>
    <t>ORD015</t>
  </si>
  <si>
    <t>ORD016</t>
  </si>
  <si>
    <t>Grocery</t>
  </si>
  <si>
    <t>ORD017</t>
  </si>
  <si>
    <t>ORD018</t>
  </si>
  <si>
    <t>Deepa</t>
  </si>
  <si>
    <t>ORD019</t>
  </si>
  <si>
    <t>ORD020</t>
  </si>
  <si>
    <t>Lavanya</t>
  </si>
  <si>
    <t>ORD021</t>
  </si>
  <si>
    <t>ORD022</t>
  </si>
  <si>
    <t>ORD023</t>
  </si>
  <si>
    <t>ORD024</t>
  </si>
  <si>
    <t>ORD025</t>
  </si>
  <si>
    <t>Ishita</t>
  </si>
  <si>
    <t>ORD026</t>
  </si>
  <si>
    <t>ORD027</t>
  </si>
  <si>
    <t>ORD028</t>
  </si>
  <si>
    <t>ORD029</t>
  </si>
  <si>
    <t>ORD030</t>
  </si>
  <si>
    <t>ORD031</t>
  </si>
  <si>
    <t>Sai</t>
  </si>
  <si>
    <t>ORD032</t>
  </si>
  <si>
    <t>Varun</t>
  </si>
  <si>
    <t>ORD033</t>
  </si>
  <si>
    <t>Riya</t>
  </si>
  <si>
    <t>ORD034</t>
  </si>
  <si>
    <t>Asha</t>
  </si>
  <si>
    <t>ORD035</t>
  </si>
  <si>
    <t>ORD036</t>
  </si>
  <si>
    <t>Pooja</t>
  </si>
  <si>
    <t>ORD037</t>
  </si>
  <si>
    <t>Meena</t>
  </si>
  <si>
    <t>ORD038</t>
  </si>
  <si>
    <t>Divya</t>
  </si>
  <si>
    <t>ORD039</t>
  </si>
  <si>
    <t>Akash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</si>
  <si>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</si>
  <si>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</si>
  <si>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</si>
  <si>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</si>
  <si>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</si>
  <si>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</si>
  <si>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</si>
  <si>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</si>
  <si>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Sneha</t>
  </si>
  <si>
    <t>ORD048</t>
  </si>
  <si>
    <t>ORD049</t>
  </si>
  <si>
    <t>Priya</t>
  </si>
  <si>
    <t>ORD050</t>
  </si>
  <si>
    <t>PRACTICE QUESTIONS &amp; HINTS</t>
  </si>
  <si>
    <t>#</t>
  </si>
  <si>
    <t>Concept</t>
  </si>
  <si>
    <t>Practice Task</t>
  </si>
  <si>
    <t>Hint</t>
  </si>
  <si>
    <t>IF</t>
  </si>
  <si>
    <t>If Sales Amount &gt;= ₹30,000, return "High Sales", otherwise "Normal Sales".</t>
  </si>
  <si>
    <t>Use IF with F5.</t>
  </si>
  <si>
    <t>AND</t>
  </si>
  <si>
    <t>If Sales Amount &gt;= ₹40,000 AND Payment Status is Pending, return "Urgent", otherwise "Normal".</t>
  </si>
  <si>
    <t>Use IF + AND.</t>
  </si>
  <si>
    <t>OR</t>
  </si>
  <si>
    <t>If Region is South OR West, return "Priority Region", otherwise "Regular Region".</t>
  </si>
  <si>
    <t>Use IF + OR.</t>
  </si>
  <si>
    <t>NOT</t>
  </si>
  <si>
    <t>If Payment Status is NOT Pending, return "Payment Complete", otherwise "Payment Pending".</t>
  </si>
  <si>
    <t>Use IF + NOT.</t>
  </si>
  <si>
    <t>SWITCH</t>
  </si>
  <si>
    <t>Classify Sales Amount: &gt;=₹50,000 Very High; &gt;=₹30,000 High; &gt;=₹15,000 Medium; otherwise Low.</t>
  </si>
  <si>
    <t>SWITCH(TRUE, ...).</t>
  </si>
  <si>
    <t>Nested IF</t>
  </si>
  <si>
    <t>Create the same four sales bands using Nested IF instead of SWITCH.</t>
  </si>
  <si>
    <t>Use IF inside IF.</t>
  </si>
  <si>
    <t>SUM</t>
  </si>
  <si>
    <t>Calculate the total Sales Amount for all 50 orders.</t>
  </si>
  <si>
    <t>Use SUM.</t>
  </si>
  <si>
    <t>SUMIF</t>
  </si>
  <si>
    <t>Calculate total Sales Amount for each Region.</t>
  </si>
  <si>
    <t>Use SUMIF with Region as criteria.</t>
  </si>
  <si>
    <t>COUNTIF</t>
  </si>
  <si>
    <t>Count the number of Pending orders.</t>
  </si>
  <si>
    <t>Use COUNTIF.</t>
  </si>
  <si>
    <t>AVERAGEIF</t>
  </si>
  <si>
    <t>Calculate average Sales Amount for each Product Category.</t>
  </si>
  <si>
    <t>Use AVERAGEIF.</t>
  </si>
  <si>
    <t>SUMIFS</t>
  </si>
  <si>
    <t>Calculate total Sales Amount for South region AND Pending payment.</t>
  </si>
  <si>
    <t>Use SUMIFS with two criteria.</t>
  </si>
  <si>
    <t>COUNTIFS</t>
  </si>
  <si>
    <t>Count orders where Region = West AND Delivery Days &gt; 6.</t>
  </si>
  <si>
    <t>Use COUNTIFS.</t>
  </si>
  <si>
    <t>MAXIFS</t>
  </si>
  <si>
    <t>Find the maximum Sales Amount for Electronics.</t>
  </si>
  <si>
    <t>Use MAXIFS.</t>
  </si>
  <si>
    <t>MINIFS</t>
  </si>
  <si>
    <t>Find the minimum Sales Amount for South region.</t>
  </si>
  <si>
    <t>Use MINIFS.</t>
  </si>
  <si>
    <t>Business Case</t>
  </si>
  <si>
    <t>Classify each order as VIP / Standard / Basic: Sales &gt;= ₹50,000 = VIP; &gt;=₹20,000 = Standard; otherwise Basic.</t>
  </si>
  <si>
    <t>Create your own formula using IF/Nested IF.</t>
  </si>
  <si>
    <t>Risk Flag: High Risk when Payment is Pending AND Sales &gt;= ₹40,000; Medium Risk when Pending only; otherwise Low Risk.</t>
  </si>
  <si>
    <t>Use IF + AND + nested logic.</t>
  </si>
  <si>
    <t>Customer Follow-up: Follow Up when Rating &lt;=2 OR Payment is Pending; otherwise No Follow-up.</t>
  </si>
  <si>
    <t>Delivery Status: Delayed when Delivery Days &gt; 7; On Time when 4–7; Fast when &lt;=3.</t>
  </si>
  <si>
    <t>Use Nested IF.</t>
  </si>
  <si>
    <t>AGGREGATE FUNCTION PRACTICE — FILL THE YELLOW CELLS</t>
  </si>
  <si>
    <t>Function</t>
  </si>
  <si>
    <t>Question</t>
  </si>
  <si>
    <t>Criteria / Condition</t>
  </si>
  <si>
    <t>Your Answer</t>
  </si>
  <si>
    <t>Formula Hint</t>
  </si>
  <si>
    <t>Interview Difficulty</t>
  </si>
  <si>
    <t>Total sales amount</t>
  </si>
  <si>
    <t>All orders</t>
  </si>
  <si>
    <t>Basic</t>
  </si>
  <si>
    <t>South region sales</t>
  </si>
  <si>
    <t>Region = South</t>
  </si>
  <si>
    <t>Electronics sales</t>
  </si>
  <si>
    <t>Category = Electronics</t>
  </si>
  <si>
    <t>Pending orders</t>
  </si>
  <si>
    <t>Payment Status = Pending</t>
  </si>
  <si>
    <t>Orders with sales &gt; ₹40,000</t>
  </si>
  <si>
    <t>Sales Amount &gt; 40000</t>
  </si>
  <si>
    <t>Average South sales</t>
  </si>
  <si>
    <t>Intermediate</t>
  </si>
  <si>
    <t>Average Electronics sales</t>
  </si>
  <si>
    <t>South + Pending sales</t>
  </si>
  <si>
    <t>Region South AND Pending</t>
  </si>
  <si>
    <t>West + Electronics sales</t>
  </si>
  <si>
    <t>West AND Electronics</t>
  </si>
  <si>
    <t>West + Delivery &gt; 6</t>
  </si>
  <si>
    <t>Region West AND Delivery &gt; 6</t>
  </si>
  <si>
    <t>Pending + Rating &lt;= 2</t>
  </si>
  <si>
    <t>Pending AND Rating &lt;= 2</t>
  </si>
  <si>
    <t>Maximum Electronics sale</t>
  </si>
  <si>
    <t>Maximum South sale</t>
  </si>
  <si>
    <t>Minimum East sale</t>
  </si>
  <si>
    <t>Region = East</t>
  </si>
  <si>
    <t>Minimum Furniture sale</t>
  </si>
  <si>
    <t>Category = Furniture</t>
  </si>
  <si>
    <t>BUSINESS-CASE PRACTICE</t>
  </si>
  <si>
    <t>Case</t>
  </si>
  <si>
    <t>Business Situation</t>
  </si>
  <si>
    <t>Rule</t>
  </si>
  <si>
    <t>Your Formula / Result</t>
  </si>
  <si>
    <t>Functions to Consider</t>
  </si>
  <si>
    <t>Difficulty</t>
  </si>
  <si>
    <t>1</t>
  </si>
  <si>
    <t>Sales Performance</t>
  </si>
  <si>
    <t>Sales &gt;= ₹50,000 → Excellent; ₹30,000–49,999 → Good; below ₹30,000 → Needs Improvement.</t>
  </si>
  <si>
    <t>IF / Nested IF</t>
  </si>
  <si>
    <t>2</t>
  </si>
  <si>
    <t>Payment Risk</t>
  </si>
  <si>
    <t>Pending + Sales &gt;= ₹40,000 → High Risk; Pending only → Medium Risk; Paid → Low Risk.</t>
  </si>
  <si>
    <t>IF + AND + Nested IF</t>
  </si>
  <si>
    <t>Advanced</t>
  </si>
  <si>
    <t>3</t>
  </si>
  <si>
    <t>Customer Priority</t>
  </si>
  <si>
    <t>Rating &lt;=2 OR Pending payment → Follow Up; otherwise No Follow Up.</t>
  </si>
  <si>
    <t>IF + OR</t>
  </si>
  <si>
    <t>4</t>
  </si>
  <si>
    <t>Delivery Performance</t>
  </si>
  <si>
    <t>Delivery &gt;7 → Delayed; 4–7 → Normal; &lt;=3 → Fast.</t>
  </si>
  <si>
    <t>5</t>
  </si>
  <si>
    <t>Regional Priority</t>
  </si>
  <si>
    <t>South/West → Priority; all other regions → Regular.</t>
  </si>
  <si>
    <t>6</t>
  </si>
  <si>
    <t>High-Value Customer</t>
  </si>
  <si>
    <t>Age &gt;=60 AND Sales &gt;=₹40,000 → High Value Customer; otherwise Standard.</t>
  </si>
  <si>
    <t>IF + AND</t>
  </si>
  <si>
    <t>7</t>
  </si>
  <si>
    <t>Manager Review</t>
  </si>
  <si>
    <t>Sales &gt;=₹30,000 AND (Pending OR Rating &lt;=2) → Review; otherwise No Review.</t>
  </si>
  <si>
    <t>IF + AND + OR</t>
  </si>
  <si>
    <t>8</t>
  </si>
  <si>
    <t>Sales Band Dashboard</t>
  </si>
  <si>
    <t>Create counts for Low, Medium, High and Very High sales bands.</t>
  </si>
  <si>
    <t>COUNTIF / COUNTIFS</t>
  </si>
  <si>
    <t>ANSWER KEY — USE ONLY AFTER PRACTICE</t>
  </si>
  <si>
    <t>Correct Formula / Method</t>
  </si>
  <si>
    <t>Notes</t>
  </si>
  <si>
    <t>Copy down.</t>
  </si>
  <si>
    <t>Total sales.</t>
  </si>
  <si>
    <t>Example: South region.</t>
  </si>
  <si>
    <t>Pending orders.</t>
  </si>
  <si>
    <t>Example: Electronics average.</t>
  </si>
  <si>
    <t>Two criteria.</t>
  </si>
  <si>
    <t>Maximum Electronics sale.</t>
  </si>
  <si>
    <t>Minimum South sale.</t>
  </si>
  <si>
    <t>Business Case – Risk</t>
  </si>
  <si>
    <t>Nested business logic.</t>
  </si>
  <si>
    <t>Business Case – Follow-up</t>
  </si>
  <si>
    <t>OR business rule.</t>
  </si>
  <si>
    <t>Business Case – Manager Review</t>
  </si>
  <si>
    <t>AND + OR.</t>
  </si>
  <si>
    <t>CONCEPT CHECKLIST</t>
  </si>
  <si>
    <t>Practiced?</t>
  </si>
  <si>
    <t>Revision Date</t>
  </si>
  <si>
    <t>AND / OR / NOT</t>
  </si>
  <si>
    <t>Conditional classification &amp; business-case scenarios</t>
  </si>
  <si>
    <t>✅</t>
  </si>
  <si>
    <t>Row Labels</t>
  </si>
  <si>
    <t>Grand Total</t>
  </si>
  <si>
    <t>Total Sales</t>
  </si>
  <si>
    <t>measure 1</t>
  </si>
  <si>
    <t>Total Sales Status</t>
  </si>
  <si>
    <t>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</si>
</sst>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\₹#,##0"/>
    <numFmt numFmtId="165" formatCode="&quot;₹&quot;\ #,##0"/>
    <numFmt numFmtId="166" formatCode="_ &quot;₹&quot;\ * #,##0_ ;_ &quot;₹&quot;\ * \-#,##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4" borderId="1" xfId="1" applyNumberFormat="1" applyFont="1" applyFill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2" fillId="3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vertical="center"/>
    </xf>
    <xf numFmtId="165" fontId="0" fillId="4" borderId="1" xfId="1" applyNumberFormat="1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4" borderId="1" xfId="1" applyNumberFormat="1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\₹#,##0"/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top style="thin">
          <color rgb="FFB7B7B7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ya Pabbineedi" refreshedDate="46294.650391319446" backgroundQuery="1" createdVersion="8" refreshedVersion="8" minRefreshableVersion="3" recordCount="0" supportSubquery="1" supportAdvancedDrill="1" xr:uid="{561C9839-A5D6-4FCE-8B91-72F44C4C453E}">
  <cacheSource type="external" connectionId="1"/>
  <cacheFields count="1">
    <cacheField name="[Measures].[Total Sales]" caption="Total Sales" numFmtId="0" hierarchy="19" level="32767"/>
  </cacheFields>
  <cacheHierarchies count="24"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Age]" caption="Age" attribute="1" defaultMemberUniqueName="[Orders].[Age].[All]" allUniqueName="[Orders].[Ag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_Category]" caption="Product_Category" attribute="1" defaultMemberUniqueName="[Orders].[Product_Category].[All]" allUniqueName="[Orders].[Product_Category].[All]" dimensionUniqueName="[Orders]" displayFolder="" count="0" memberValueDatatype="13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20" unbalanced="0"/>
    <cacheHierarchy uniqueName="[Orders].[Payment_Status]" caption="Payment_Status" attribute="1" defaultMemberUniqueName="[Orders].[Payment_Status].[All]" allUniqueName="[Orders].[Payment_Status].[All]" dimensionUniqueName="[Orders]" displayFolder="" count="0" memberValueDatatype="130" unbalanced="0"/>
    <cacheHierarchy uniqueName="[Orders].[Delivery_Days]" caption="Delivery_Days" attribute="1" defaultMemberUniqueName="[Orders].[Delivery_Days].[All]" allUniqueName="[Orders].[Delivery_Days].[All]" dimensionUniqueName="[Orders]" displayFolder="" count="0" memberValueDatatype="2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Customer_Rating]" caption="Customer_Rating" attribute="1" defaultMemberUniqueName="[Orders].[Customer_Rating].[All]" allUniqueName="[Orders].[Customer_Rating].[All]" dimensionUniqueName="[Orders]" displayFolder="" count="0" memberValueDatatype="20" unbalanced="0"/>
    <cacheHierarchy uniqueName="[Orders].[IF_Result]" caption="IF_Result" attribute="1" defaultMemberUniqueName="[Orders].[IF_Result].[All]" allUniqueName="[Orders].[IF_Result].[All]" dimensionUniqueName="[Orders]" displayFolder="" count="0" memberValueDatatype="130" unbalanced="0"/>
    <cacheHierarchy uniqueName="[Orders].[AND_Result]" caption="AND_Result" attribute="1" defaultMemberUniqueName="[Orders].[AND_Result].[All]" allUniqueName="[Orders].[AND_Result].[All]" dimensionUniqueName="[Orders]" displayFolder="" count="0" memberValueDatatype="130" unbalanced="0"/>
    <cacheHierarchy uniqueName="[Orders].[OR_Result]" caption="OR_Result" attribute="1" defaultMemberUniqueName="[Orders].[OR_Result].[All]" allUniqueName="[Orders].[OR_Result].[All]" dimensionUniqueName="[Orders]" displayFolder="" count="0" memberValueDatatype="130" unbalanced="0"/>
    <cacheHierarchy uniqueName="[Orders].[NOT_Result]" caption="NOT_Result" attribute="1" defaultMemberUniqueName="[Orders].[NOT_Result].[All]" allUniqueName="[Orders].[NOT_Result].[All]" dimensionUniqueName="[Orders]" displayFolder="" count="0" memberValueDatatype="130" unbalanced="0"/>
    <cacheHierarchy uniqueName="[Orders].[SWITCH_Result]" caption="SWITCH_Result" attribute="1" defaultMemberUniqueName="[Orders].[SWITCH_Result].[All]" allUniqueName="[Orders].[SWITCH_Result].[All]" dimensionUniqueName="[Orders]" displayFolder="" count="0" memberValueDatatype="130" unbalanced="0"/>
    <cacheHierarchy uniqueName="[Orders].[Nested_IF_Result]" caption="Nested_IF_Result" attribute="1" defaultMemberUniqueName="[Orders].[Nested_IF_Result].[All]" allUniqueName="[Orders].[Nested_IF_Result].[All]" dimensionUniqueName="[Orders]" displayFolder="" count="0" memberValueDatatype="130" unbalanced="0"/>
    <cacheHierarchy uniqueName="[Orders].[Business_Class]" caption="Business_Class" attribute="1" defaultMemberUniqueName="[Orders].[Business_Class].[All]" allUniqueName="[Orders].[Business_Class].[All]" dimensionUniqueName="[Orders]" displayFolder="" count="0" memberValueDatatype="130" unbalanced="0"/>
    <cacheHierarchy uniqueName="[Orders].[Risk_Flag]" caption="Risk_Flag" attribute="1" defaultMemberUniqueName="[Orders].[Risk_Flag].[All]" allUniqueName="[Orders].[Risk_Flag].[All]" dimensionUniqueName="[Orders]" displayFolder="" count="0" memberValueDatatype="130" unbalanced="0"/>
    <cacheHierarchy uniqueName="[Measures].[measure 1]" caption="measure 1" measure="1" displayFolder="" measureGroup="Orders" count="0"/>
    <cacheHierarchy uniqueName="[Measures].[Total Sales]" caption="Total Sales" measure="1" displayFolder="" measureGroup="Orders" count="0" oneField="1">
      <fieldsUsage count="1">
        <fieldUsage x="0"/>
      </fieldsUsage>
    </cacheHierarchy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11" displayFolder="" measureGroup="Orders" count="0" hidden="1"/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2">
    <dimension measure="1" name="Measures" uniqueName="[Measures]" caption="Measures"/>
    <dimension name="Orders" uniqueName="[Orders]" caption="Orders"/>
  </dimensions>
  <measureGroups count="1">
    <measureGroup name="Orders" caption="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ya Pabbineedi" refreshedDate="46294.650539120368" createdVersion="5" refreshedVersion="8" minRefreshableVersion="3" recordCount="0" supportSubquery="1" supportAdvancedDrill="1" xr:uid="{CF25A6B8-76D5-4AD0-A400-F06D40FA86A9}">
  <cacheSource type="external" connectionId="1"/>
  <cacheFields count="3">
    <cacheField name="[Orders].[Sales_Rep].[Sales_Rep]" caption="Sales_Rep" numFmtId="0" hierarchy="8" level="1">
      <sharedItems count="5">
        <s v="Anil"/>
        <s v="Keerthi"/>
        <s v="Mohan"/>
        <s v="Ravi"/>
        <s v="Sanjay"/>
      </sharedItems>
    </cacheField>
    <cacheField name="[Measures].[measure 1]" caption="measure 1" numFmtId="0" hierarchy="18" level="32767"/>
    <cacheField name="[Measures].[_Total Sales Status]" caption="_Total Sales Status" numFmtId="0" hierarchy="23" level="32767"/>
  </cacheFields>
  <cacheHierarchies count="24"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Age]" caption="Age" attribute="1" defaultMemberUniqueName="[Orders].[Age].[All]" allUniqueName="[Orders].[Age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Product_Category]" caption="Product_Category" attribute="1" defaultMemberUniqueName="[Orders].[Product_Category].[All]" allUniqueName="[Orders].[Product_Category].[All]" dimensionUniqueName="[Orders]" displayFolder="" count="0" memberValueDatatype="13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20" unbalanced="0"/>
    <cacheHierarchy uniqueName="[Orders].[Payment_Status]" caption="Payment_Status" attribute="1" defaultMemberUniqueName="[Orders].[Payment_Status].[All]" allUniqueName="[Orders].[Payment_Status].[All]" dimensionUniqueName="[Orders]" displayFolder="" count="0" memberValueDatatype="130" unbalanced="0"/>
    <cacheHierarchy uniqueName="[Orders].[Delivery_Days]" caption="Delivery_Days" attribute="1" defaultMemberUniqueName="[Orders].[Delivery_Days].[All]" allUniqueName="[Orders].[Delivery_Days].[All]" dimensionUniqueName="[Orders]" displayFolder="" count="0" memberValueDatatype="20" unbalanced="0"/>
    <cacheHierarchy uniqueName="[Orders].[Sales_Rep]" caption="Sales_Rep" attribute="1" defaultMemberUniqueName="[Orders].[Sales_Rep].[All]" allUniqueName="[Orders].[Sales_Rep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ustomer_Rating]" caption="Customer_Rating" attribute="1" defaultMemberUniqueName="[Orders].[Customer_Rating].[All]" allUniqueName="[Orders].[Customer_Rating].[All]" dimensionUniqueName="[Orders]" displayFolder="" count="0" memberValueDatatype="20" unbalanced="0"/>
    <cacheHierarchy uniqueName="[Orders].[IF_Result]" caption="IF_Result" attribute="1" defaultMemberUniqueName="[Orders].[IF_Result].[All]" allUniqueName="[Orders].[IF_Result].[All]" dimensionUniqueName="[Orders]" displayFolder="" count="0" memberValueDatatype="130" unbalanced="0"/>
    <cacheHierarchy uniqueName="[Orders].[AND_Result]" caption="AND_Result" attribute="1" defaultMemberUniqueName="[Orders].[AND_Result].[All]" allUniqueName="[Orders].[AND_Result].[All]" dimensionUniqueName="[Orders]" displayFolder="" count="0" memberValueDatatype="130" unbalanced="0"/>
    <cacheHierarchy uniqueName="[Orders].[OR_Result]" caption="OR_Result" attribute="1" defaultMemberUniqueName="[Orders].[OR_Result].[All]" allUniqueName="[Orders].[OR_Result].[All]" dimensionUniqueName="[Orders]" displayFolder="" count="0" memberValueDatatype="130" unbalanced="0"/>
    <cacheHierarchy uniqueName="[Orders].[NOT_Result]" caption="NOT_Result" attribute="1" defaultMemberUniqueName="[Orders].[NOT_Result].[All]" allUniqueName="[Orders].[NOT_Result].[All]" dimensionUniqueName="[Orders]" displayFolder="" count="0" memberValueDatatype="130" unbalanced="0"/>
    <cacheHierarchy uniqueName="[Orders].[SWITCH_Result]" caption="SWITCH_Result" attribute="1" defaultMemberUniqueName="[Orders].[SWITCH_Result].[All]" allUniqueName="[Orders].[SWITCH_Result].[All]" dimensionUniqueName="[Orders]" displayFolder="" count="0" memberValueDatatype="130" unbalanced="0"/>
    <cacheHierarchy uniqueName="[Orders].[Nested_IF_Result]" caption="Nested_IF_Result" attribute="1" defaultMemberUniqueName="[Orders].[Nested_IF_Result].[All]" allUniqueName="[Orders].[Nested_IF_Result].[All]" dimensionUniqueName="[Orders]" displayFolder="" count="0" memberValueDatatype="130" unbalanced="0"/>
    <cacheHierarchy uniqueName="[Orders].[Business_Class]" caption="Business_Class" attribute="1" defaultMemberUniqueName="[Orders].[Business_Class].[All]" allUniqueName="[Orders].[Business_Class].[All]" dimensionUniqueName="[Orders]" displayFolder="" count="0" memberValueDatatype="130" unbalanced="0"/>
    <cacheHierarchy uniqueName="[Orders].[Risk_Flag]" caption="Risk_Flag" attribute="1" defaultMemberUniqueName="[Orders].[Risk_Flag].[All]" allUniqueName="[Orders].[Risk_Flag].[All]" dimensionUniqueName="[Orders]" displayFolder="" count="0" memberValueDatatype="130" unbalanced="0"/>
    <cacheHierarchy uniqueName="[Measures].[measure 1]" caption="measure 1" measure="1" displayFolder="" measureGroup="Orders" count="0" oneField="1">
      <fieldsUsage count="1">
        <fieldUsage x="1"/>
      </fieldsUsage>
    </cacheHierarchy>
    <cacheHierarchy uniqueName="[Measures].[Total Sales]" caption="Total Sales" measure="1" displayFolder="" measureGroup="Orders" count="0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Orders" count="0" hidden="1"/>
    <cacheHierarchy uniqueName="[Measures].[_Total Sales Status]" caption="_Total Sales Status" measure="1" iconSet="11" displayFolder="" measureGroup="Orders" count="0" oneField="1" hidden="1">
      <fieldsUsage count="1">
        <fieldUsage x="2"/>
      </fieldsUsage>
    </cacheHierarchy>
  </cacheHierarchies>
  <kpis count="1">
    <kpi uniqueName="Total Sales" caption="Total Sales" displayFolder="" measureGroup="Orders" parent="" value="[Measures].[Total Sales]" goal="[Measures].[_Total Sales Goal]" status="[Measures].[_Total Sales Status]" trend="" weight=""/>
  </kpis>
  <dimensions count="2">
    <dimension measure="1" name="Measures" uniqueName="[Measures]" caption="Measures"/>
    <dimension name="Orders" uniqueName="[Orders]" caption="Orders"/>
  </dimensions>
  <measureGroups count="1">
    <measureGroup name="Orders" caption="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73838-0D27-4E30-9208-19BA779C2BA3}" name="PivotTable6" cacheId="1" applyNumberFormats="0" applyBorderFormats="0" applyFontFormats="0" applyPatternFormats="0" applyAlignmentFormats="0" applyWidthHeightFormats="1" dataCaption="Values" tag="44c64345-9ad3-4654-98f4-1fad911de9b1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Practice_IF_Logical_Aggregate_Business_Cases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BAF57-9759-4892-BCF2-EE60BC6F95F0}" name="PivotTable7" cacheId="2" applyNumberFormats="0" applyBorderFormats="0" applyFontFormats="0" applyPatternFormats="0" applyAlignmentFormats="0" applyWidthHeightFormats="1" dataCaption="Values" tag="7794ae60-9357-4522-bc9b-9aee7c5ccd54" updatedVersion="8" minRefreshableVersion="3" useAutoFormatting="1" itemPrintTitles="1" createdVersion="5" indent="0" outline="1" outlineData="1" multipleFieldFilters="0">
  <location ref="B3:D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Total Sales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6630A-FFA6-4E88-868E-72068E7C897D}" name="Orders" displayName="Orders" ref="A4:R54" totalsRowShown="0" headerRowDxfId="21" dataDxfId="19" headerRowBorderDxfId="20" tableBorderDxfId="18">
  <autoFilter ref="A4:R54" xr:uid="{00000000-0009-0000-0000-000000000000}"/>
  <tableColumns count="18">
    <tableColumn id="1" xr3:uid="{B7D45549-88D4-4311-B2DB-96811234246F}" name="Order_ID" dataDxfId="17"/>
    <tableColumn id="2" xr3:uid="{B74D94E7-FA3B-4B05-8572-FC478D1D1F15}" name="Customer_Name" dataDxfId="16"/>
    <tableColumn id="3" xr3:uid="{C62ED1E2-4782-41A4-906B-3F0A87DE4B43}" name="Age" dataDxfId="15"/>
    <tableColumn id="4" xr3:uid="{12C77A24-01CC-469D-A073-16154F21C067}" name="Region" dataDxfId="14"/>
    <tableColumn id="5" xr3:uid="{2CFCA814-B908-4ED9-8CC8-515B26811053}" name="Product_Category" dataDxfId="13"/>
    <tableColumn id="6" xr3:uid="{C73B8CDF-046D-488C-B5FA-C27F9806334E}" name="Sales_Amount" dataDxfId="12"/>
    <tableColumn id="7" xr3:uid="{A5B18856-81A3-49D5-8551-33D5114ACF5E}" name="Payment_Status" dataDxfId="11"/>
    <tableColumn id="8" xr3:uid="{FE7E072D-BDD7-415E-80AC-009E459DDD06}" name="Delivery_Days" dataDxfId="10"/>
    <tableColumn id="9" xr3:uid="{5C98DBB4-BF2A-446E-809C-02FC516B655A}" name="Sales_Rep" dataDxfId="9"/>
    <tableColumn id="10" xr3:uid="{B1F3865D-B1B1-452D-ACAA-E0E2EDC3C6EC}" name="Customer_Rating" dataDxfId="8"/>
    <tableColumn id="11" xr3:uid="{7313EDA2-E1EC-4551-AD55-109C2A90A686}" name="IF_Result" dataDxfId="7">
      <calculatedColumnFormula>IF(Practice_Data!F5&gt;=30000,"High Sales","Normal Sales")</calculatedColumnFormula>
    </tableColumn>
    <tableColumn id="12" xr3:uid="{C6898AA3-4779-4A76-BAC3-F95B7AD60437}" name="AND_Result" dataDxfId="6">
      <calculatedColumnFormula>IF(AND(F5&gt;=40000,G5="Pending"),"Urgent","Normal")</calculatedColumnFormula>
    </tableColumn>
    <tableColumn id="13" xr3:uid="{FB0591EB-EF64-4667-A3BA-3B3F021A2E6A}" name="OR_Result" dataDxfId="5">
      <calculatedColumnFormula>IF(OR(D5="South",D5="west"),"Priority Region","Regular Region")</calculatedColumnFormula>
    </tableColumn>
    <tableColumn id="14" xr3:uid="{008D1CA3-EA14-45A7-A76E-A7A03485865B}" name="NOT_Result" dataDxfId="4">
      <calculatedColumnFormula>IF(NOT(G5="Paid"),"Payment Completed","Payment Pending")</calculatedColumnFormula>
    </tableColumn>
    <tableColumn id="15" xr3:uid="{6D735A7C-0FFF-4A53-9982-1C7CBC09DECD}" name="SWITCH_Result" dataDxfId="3">
      <calculatedColumnFormula array="1">_xlfn.SWITCH(TRUE,F5&gt;=50000,"Very High",F5&gt;=30000,"High",F5&gt;=15000,"Medium",F5&lt;15000,"Low")</calculatedColumnFormula>
    </tableColumn>
    <tableColumn id="16" xr3:uid="{38579D22-2FCD-4B8C-846F-D817D08013F8}" name="Nested_IF_Result" dataDxfId="2">
      <calculatedColumnFormula>IF(F5&gt;=50000,"Very High",IF(F5&gt;=30000,"High",IF(F5&gt;=15000,"Medium","Low")))</calculatedColumnFormula>
    </tableColumn>
    <tableColumn id="17" xr3:uid="{859A3D41-C7DF-4026-B145-7242372F9122}" name="Business_Class" dataDxfId="1"/>
    <tableColumn id="18" xr3:uid="{CA4E9E31-CA70-41E5-BA9A-7088F58AF992}" name="Risk_Fla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C61A-07F8-4E94-B06B-71F400A0A593}">
  <dimension ref="A3:A4"/>
  <sheetViews>
    <sheetView workbookViewId="0">
      <selection activeCell="A3" sqref="A3"/>
    </sheetView>
  </sheetViews>
  <sheetFormatPr defaultRowHeight="14.4" x14ac:dyDescent="0.3"/>
  <cols>
    <col min="1" max="1" width="9.88671875" bestFit="1" customWidth="1"/>
  </cols>
  <sheetData>
    <row r="3" spans="1:1" x14ac:dyDescent="0.3">
      <c r="A3" t="s">
        <v>262</v>
      </c>
    </row>
    <row r="4" spans="1:1" x14ac:dyDescent="0.3">
      <c r="A4" s="16">
        <v>1544500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BF5F-D578-4ABE-B207-BFC4745ACCBB}">
  <dimension ref="B3:D9"/>
  <sheetViews>
    <sheetView workbookViewId="0">
      <selection activeCell="B3" sqref="B3"/>
    </sheetView>
  </sheetViews>
  <sheetFormatPr defaultRowHeight="14.4" x14ac:dyDescent="0.3"/>
  <cols>
    <col min="2" max="2" width="12.5546875" bestFit="1" customWidth="1"/>
    <col min="3" max="3" width="9.6640625" bestFit="1" customWidth="1"/>
    <col min="4" max="4" width="15.6640625" bestFit="1" customWidth="1"/>
    <col min="5" max="5" width="14.21875" bestFit="1" customWidth="1"/>
  </cols>
  <sheetData>
    <row r="3" spans="2:4" x14ac:dyDescent="0.3">
      <c r="B3" s="14" t="s">
        <v>260</v>
      </c>
      <c r="C3" t="s">
        <v>263</v>
      </c>
      <c r="D3" t="s">
        <v>264</v>
      </c>
    </row>
    <row r="4" spans="2:4" x14ac:dyDescent="0.3">
      <c r="B4" s="15" t="s">
        <v>34</v>
      </c>
      <c r="C4" s="16">
        <v>179500</v>
      </c>
      <c r="D4">
        <v>-1</v>
      </c>
    </row>
    <row r="5" spans="2:4" x14ac:dyDescent="0.3">
      <c r="B5" s="15" t="s">
        <v>36</v>
      </c>
      <c r="C5" s="16">
        <v>300000</v>
      </c>
      <c r="D5">
        <v>0</v>
      </c>
    </row>
    <row r="6" spans="2:4" x14ac:dyDescent="0.3">
      <c r="B6" s="15" t="s">
        <v>28</v>
      </c>
      <c r="C6" s="16">
        <v>234500</v>
      </c>
      <c r="D6">
        <v>0</v>
      </c>
    </row>
    <row r="7" spans="2:4" x14ac:dyDescent="0.3">
      <c r="B7" s="15" t="s">
        <v>38</v>
      </c>
      <c r="C7" s="16">
        <v>373500</v>
      </c>
      <c r="D7">
        <v>1</v>
      </c>
    </row>
    <row r="8" spans="2:4" x14ac:dyDescent="0.3">
      <c r="B8" s="15" t="s">
        <v>25</v>
      </c>
      <c r="C8" s="16">
        <v>457000</v>
      </c>
      <c r="D8">
        <v>1</v>
      </c>
    </row>
    <row r="9" spans="2:4" x14ac:dyDescent="0.3">
      <c r="B9" s="15" t="s">
        <v>261</v>
      </c>
      <c r="C9" s="16">
        <v>1544500</v>
      </c>
      <c r="D9">
        <v>1</v>
      </c>
    </row>
  </sheetData>
  <conditionalFormatting pivot="1" sqref="D4:D9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opLeftCell="C1" zoomScale="81" workbookViewId="0">
      <pane ySplit="4" topLeftCell="A59" activePane="bottomLeft" state="frozen"/>
      <selection pane="bottomLeft" activeCell="A4" sqref="A4:R54"/>
    </sheetView>
  </sheetViews>
  <sheetFormatPr defaultRowHeight="14.4" x14ac:dyDescent="0.3"/>
  <cols>
    <col min="1" max="1" width="12" customWidth="1"/>
    <col min="2" max="2" width="18" customWidth="1"/>
    <col min="3" max="3" width="9" customWidth="1"/>
    <col min="4" max="4" width="12" customWidth="1"/>
    <col min="5" max="5" width="18.109375" customWidth="1"/>
    <col min="6" max="6" width="15" customWidth="1"/>
    <col min="7" max="7" width="16.6640625" customWidth="1"/>
    <col min="8" max="8" width="14.6640625" customWidth="1"/>
    <col min="9" max="9" width="14" customWidth="1"/>
    <col min="10" max="10" width="17.33203125" customWidth="1"/>
    <col min="11" max="11" width="18" customWidth="1"/>
    <col min="12" max="12" width="20" customWidth="1"/>
    <col min="13" max="14" width="18" customWidth="1"/>
    <col min="15" max="15" width="20" customWidth="1"/>
    <col min="16" max="16" width="22" customWidth="1"/>
    <col min="17" max="17" width="20" customWidth="1"/>
    <col min="18" max="18" width="18" customWidth="1"/>
  </cols>
  <sheetData>
    <row r="1" spans="1:18" ht="19.8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spans="1:18" x14ac:dyDescent="0.3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  <c r="N4" s="13" t="s">
        <v>15</v>
      </c>
      <c r="O4" s="13" t="s">
        <v>16</v>
      </c>
      <c r="P4" s="13" t="s">
        <v>17</v>
      </c>
      <c r="Q4" s="13" t="s">
        <v>18</v>
      </c>
      <c r="R4" s="13" t="s">
        <v>19</v>
      </c>
    </row>
    <row r="5" spans="1:18" x14ac:dyDescent="0.3">
      <c r="A5" s="11" t="s">
        <v>20</v>
      </c>
      <c r="B5" s="7" t="s">
        <v>21</v>
      </c>
      <c r="C5" s="7">
        <v>21</v>
      </c>
      <c r="D5" s="7" t="s">
        <v>22</v>
      </c>
      <c r="E5" s="7" t="s">
        <v>23</v>
      </c>
      <c r="F5" s="8">
        <v>45000</v>
      </c>
      <c r="G5" s="7" t="s">
        <v>24</v>
      </c>
      <c r="H5" s="7">
        <v>2</v>
      </c>
      <c r="I5" s="7" t="s">
        <v>25</v>
      </c>
      <c r="J5" s="7">
        <v>4</v>
      </c>
      <c r="K5" s="5" t="str">
        <f>IF(Practice_Data!F6&gt;=30000,"High Sales","Normal Sales")</f>
        <v>Normal Sales</v>
      </c>
      <c r="L5" s="5" t="str">
        <f>IF(AND(F5&gt;=40000,G5="Pending"),"Urgent","Normal")</f>
        <v>Normal</v>
      </c>
      <c r="M5" s="5" t="str">
        <f t="shared" ref="M5:M54" si="0">IF(OR(D5="South",D5="west"),"Priority Region","Regular Region")</f>
        <v>Regular Region</v>
      </c>
      <c r="N5" s="5" t="str">
        <f>IF(NOT(G5="Paid"),"Payment Completed","Payment Pending")</f>
        <v>Payment Pending</v>
      </c>
      <c r="O5" s="5" t="str" cm="1">
        <f t="array" ref="O5">_xlfn.SWITCH(TRUE,F5&gt;=50000,"Very High",F5&gt;=30000,"High",F5&gt;=15000,"Medium",F5&lt;15000,"Low")</f>
        <v>High</v>
      </c>
      <c r="P5" s="5" t="str">
        <f>IF(F5&gt;=50000,"Very High",IF(F5&gt;=30000,"High",IF(F5&gt;=15000,"Medium","Low")))</f>
        <v>High</v>
      </c>
      <c r="Q5" s="5"/>
      <c r="R5" s="5"/>
    </row>
    <row r="6" spans="1:18" x14ac:dyDescent="0.3">
      <c r="A6" s="11" t="s">
        <v>26</v>
      </c>
      <c r="B6" s="7" t="s">
        <v>27</v>
      </c>
      <c r="C6" s="7">
        <v>38</v>
      </c>
      <c r="D6" s="7" t="s">
        <v>22</v>
      </c>
      <c r="E6" s="7" t="s">
        <v>23</v>
      </c>
      <c r="F6" s="8">
        <v>16500</v>
      </c>
      <c r="G6" s="7" t="s">
        <v>24</v>
      </c>
      <c r="H6" s="7">
        <v>10</v>
      </c>
      <c r="I6" s="7" t="s">
        <v>28</v>
      </c>
      <c r="J6" s="7">
        <v>3</v>
      </c>
      <c r="K6" s="5" t="str">
        <f>IF(Practice_Data!F6&gt;=30000,"High Sales","Normal Sales")</f>
        <v>Normal Sales</v>
      </c>
      <c r="L6" s="5" t="str">
        <f t="shared" ref="L6:L54" si="1">IF(AND(F6&gt;=40000,G6="Pending"),"Urgent","Normal")</f>
        <v>Normal</v>
      </c>
      <c r="M6" s="5" t="str">
        <f t="shared" si="0"/>
        <v>Regular Region</v>
      </c>
      <c r="N6" s="5" t="str">
        <f t="shared" ref="N6:N54" si="2">IF(NOT(G6="Paid"),"Payment Completed","Payment Pending")</f>
        <v>Payment Pending</v>
      </c>
      <c r="O6" s="5" t="str" cm="1">
        <f t="array" ref="O6">_xlfn.SWITCH(TRUE,F6&gt;=50000,"Very High",F6&gt;=30000,"High",F6&gt;=15000,"Medium",F6&lt;15000,"Low")</f>
        <v>Medium</v>
      </c>
      <c r="P6" s="5" t="str">
        <f t="shared" ref="P6:P54" si="3">IF(F6&gt;=50000,"Very High",IF(F6&gt;=30000,"High",IF(F6&gt;=15000,"Medium","Low")))</f>
        <v>Medium</v>
      </c>
      <c r="Q6" s="5"/>
      <c r="R6" s="5"/>
    </row>
    <row r="7" spans="1:18" x14ac:dyDescent="0.3">
      <c r="A7" s="11" t="s">
        <v>29</v>
      </c>
      <c r="B7" s="7" t="s">
        <v>30</v>
      </c>
      <c r="C7" s="7">
        <v>27</v>
      </c>
      <c r="D7" s="7" t="s">
        <v>31</v>
      </c>
      <c r="E7" s="7" t="s">
        <v>32</v>
      </c>
      <c r="F7" s="8">
        <v>10500</v>
      </c>
      <c r="G7" s="7" t="s">
        <v>33</v>
      </c>
      <c r="H7" s="7">
        <v>8</v>
      </c>
      <c r="I7" s="7" t="s">
        <v>34</v>
      </c>
      <c r="J7" s="7">
        <v>1</v>
      </c>
      <c r="K7" s="5" t="str">
        <f>IF(Practice_Data!F7&gt;=30000,"High Sales","Normal Sales")</f>
        <v>Normal Sales</v>
      </c>
      <c r="L7" s="5" t="str">
        <f t="shared" si="1"/>
        <v>Normal</v>
      </c>
      <c r="M7" s="5" t="str">
        <f t="shared" si="0"/>
        <v>Regular Region</v>
      </c>
      <c r="N7" s="5" t="str">
        <f t="shared" si="2"/>
        <v>Payment Completed</v>
      </c>
      <c r="O7" s="5" t="str" cm="1">
        <f t="array" ref="O7">_xlfn.SWITCH(TRUE,F7&gt;=50000,"Very High",F7&gt;=30000,"High",F7&gt;=15000,"Medium",F7&lt;15000,"Low")</f>
        <v>Low</v>
      </c>
      <c r="P7" s="5" t="str">
        <f t="shared" si="3"/>
        <v>Low</v>
      </c>
      <c r="Q7" s="5"/>
      <c r="R7" s="5"/>
    </row>
    <row r="8" spans="1:18" x14ac:dyDescent="0.3">
      <c r="A8" s="11" t="s">
        <v>35</v>
      </c>
      <c r="B8" s="7" t="s">
        <v>36</v>
      </c>
      <c r="C8" s="7">
        <v>62</v>
      </c>
      <c r="D8" s="7" t="s">
        <v>37</v>
      </c>
      <c r="E8" s="7" t="s">
        <v>23</v>
      </c>
      <c r="F8" s="8">
        <v>8500</v>
      </c>
      <c r="G8" s="7" t="s">
        <v>24</v>
      </c>
      <c r="H8" s="7">
        <v>4</v>
      </c>
      <c r="I8" s="7" t="s">
        <v>38</v>
      </c>
      <c r="J8" s="7">
        <v>2</v>
      </c>
      <c r="K8" s="5" t="str">
        <f>IF(Practice_Data!F8&gt;=30000,"High Sales","Normal Sales")</f>
        <v>Normal Sales</v>
      </c>
      <c r="L8" s="5" t="str">
        <f t="shared" si="1"/>
        <v>Normal</v>
      </c>
      <c r="M8" s="5" t="str">
        <f t="shared" si="0"/>
        <v>Priority Region</v>
      </c>
      <c r="N8" s="5" t="str">
        <f t="shared" si="2"/>
        <v>Payment Pending</v>
      </c>
      <c r="O8" s="5" t="str" cm="1">
        <f t="array" ref="O8">_xlfn.SWITCH(TRUE,F8&gt;=50000,"Very High",F8&gt;=30000,"High",F8&gt;=15000,"Medium",F8&lt;15000,"Low")</f>
        <v>Low</v>
      </c>
      <c r="P8" s="5" t="str">
        <f t="shared" si="3"/>
        <v>Low</v>
      </c>
      <c r="Q8" s="5"/>
      <c r="R8" s="5"/>
    </row>
    <row r="9" spans="1:18" x14ac:dyDescent="0.3">
      <c r="A9" s="11" t="s">
        <v>39</v>
      </c>
      <c r="B9" s="7" t="s">
        <v>40</v>
      </c>
      <c r="C9" s="7">
        <v>34</v>
      </c>
      <c r="D9" s="7" t="s">
        <v>37</v>
      </c>
      <c r="E9" s="7" t="s">
        <v>41</v>
      </c>
      <c r="F9" s="8">
        <v>60000</v>
      </c>
      <c r="G9" s="7" t="s">
        <v>24</v>
      </c>
      <c r="H9" s="7">
        <v>2</v>
      </c>
      <c r="I9" s="7" t="s">
        <v>25</v>
      </c>
      <c r="J9" s="7">
        <v>3</v>
      </c>
      <c r="K9" s="5" t="str">
        <f>IF(Practice_Data!F9&gt;=30000,"High Sales","Normal Sales")</f>
        <v>High Sales</v>
      </c>
      <c r="L9" s="5" t="str">
        <f t="shared" si="1"/>
        <v>Normal</v>
      </c>
      <c r="M9" s="5" t="str">
        <f t="shared" si="0"/>
        <v>Priority Region</v>
      </c>
      <c r="N9" s="5" t="str">
        <f t="shared" si="2"/>
        <v>Payment Pending</v>
      </c>
      <c r="O9" s="5" t="str" cm="1">
        <f t="array" ref="O9">_xlfn.SWITCH(TRUE,F9&gt;=50000,"Very High",F9&gt;=30000,"High",F9&gt;=15000,"Medium",F9&lt;15000,"Low")</f>
        <v>Very High</v>
      </c>
      <c r="P9" s="5" t="str">
        <f t="shared" si="3"/>
        <v>Very High</v>
      </c>
      <c r="Q9" s="5"/>
      <c r="R9" s="5"/>
    </row>
    <row r="10" spans="1:18" x14ac:dyDescent="0.3">
      <c r="A10" s="11" t="s">
        <v>42</v>
      </c>
      <c r="B10" s="7" t="s">
        <v>43</v>
      </c>
      <c r="C10" s="7">
        <v>66</v>
      </c>
      <c r="D10" s="7" t="s">
        <v>37</v>
      </c>
      <c r="E10" s="7" t="s">
        <v>44</v>
      </c>
      <c r="F10" s="8">
        <v>72000</v>
      </c>
      <c r="G10" s="7" t="s">
        <v>24</v>
      </c>
      <c r="H10" s="7">
        <v>7</v>
      </c>
      <c r="I10" s="7" t="s">
        <v>25</v>
      </c>
      <c r="J10" s="7">
        <v>1</v>
      </c>
      <c r="K10" s="5" t="str">
        <f>IF(Practice_Data!F10&gt;=30000,"High Sales","Normal Sales")</f>
        <v>High Sales</v>
      </c>
      <c r="L10" s="5" t="str">
        <f t="shared" si="1"/>
        <v>Normal</v>
      </c>
      <c r="M10" s="5" t="str">
        <f t="shared" si="0"/>
        <v>Priority Region</v>
      </c>
      <c r="N10" s="5" t="str">
        <f t="shared" si="2"/>
        <v>Payment Pending</v>
      </c>
      <c r="O10" s="5" t="str" cm="1">
        <f t="array" ref="O10">_xlfn.SWITCH(TRUE,F10&gt;=50000,"Very High",F10&gt;=30000,"High",F10&gt;=15000,"Medium",F10&lt;15000,"Low")</f>
        <v>Very High</v>
      </c>
      <c r="P10" s="5" t="str">
        <f t="shared" si="3"/>
        <v>Very High</v>
      </c>
      <c r="Q10" s="5"/>
      <c r="R10" s="5"/>
    </row>
    <row r="11" spans="1:18" x14ac:dyDescent="0.3">
      <c r="A11" s="11" t="s">
        <v>45</v>
      </c>
      <c r="B11" s="7" t="s">
        <v>46</v>
      </c>
      <c r="C11" s="7">
        <v>42</v>
      </c>
      <c r="D11" s="7" t="s">
        <v>47</v>
      </c>
      <c r="E11" s="7" t="s">
        <v>41</v>
      </c>
      <c r="F11" s="8">
        <v>60000</v>
      </c>
      <c r="G11" s="7" t="s">
        <v>24</v>
      </c>
      <c r="H11" s="7">
        <v>8</v>
      </c>
      <c r="I11" s="7" t="s">
        <v>38</v>
      </c>
      <c r="J11" s="7">
        <v>3</v>
      </c>
      <c r="K11" s="5" t="str">
        <f>IF(Practice_Data!F11&gt;=30000,"High Sales","Normal Sales")</f>
        <v>High Sales</v>
      </c>
      <c r="L11" s="5" t="str">
        <f t="shared" si="1"/>
        <v>Normal</v>
      </c>
      <c r="M11" s="5" t="str">
        <f t="shared" si="0"/>
        <v>Regular Region</v>
      </c>
      <c r="N11" s="5" t="str">
        <f t="shared" si="2"/>
        <v>Payment Pending</v>
      </c>
      <c r="O11" s="5" t="str" cm="1">
        <f t="array" ref="O11">_xlfn.SWITCH(TRUE,F11&gt;=50000,"Very High",F11&gt;=30000,"High",F11&gt;=15000,"Medium",F11&lt;15000,"Low")</f>
        <v>Very High</v>
      </c>
      <c r="P11" s="5" t="str">
        <f t="shared" si="3"/>
        <v>Very High</v>
      </c>
      <c r="Q11" s="5"/>
      <c r="R11" s="5"/>
    </row>
    <row r="12" spans="1:18" x14ac:dyDescent="0.3">
      <c r="A12" s="11" t="s">
        <v>48</v>
      </c>
      <c r="B12" s="7" t="s">
        <v>40</v>
      </c>
      <c r="C12" s="7">
        <v>71</v>
      </c>
      <c r="D12" s="7" t="s">
        <v>49</v>
      </c>
      <c r="E12" s="7" t="s">
        <v>23</v>
      </c>
      <c r="F12" s="8">
        <v>60000</v>
      </c>
      <c r="G12" s="7" t="s">
        <v>24</v>
      </c>
      <c r="H12" s="7">
        <v>4</v>
      </c>
      <c r="I12" s="7" t="s">
        <v>25</v>
      </c>
      <c r="J12" s="7">
        <v>3</v>
      </c>
      <c r="K12" s="5" t="str">
        <f>IF(Practice_Data!F12&gt;=30000,"High Sales","Normal Sales")</f>
        <v>High Sales</v>
      </c>
      <c r="L12" s="5" t="str">
        <f t="shared" si="1"/>
        <v>Normal</v>
      </c>
      <c r="M12" s="5" t="str">
        <f t="shared" si="0"/>
        <v>Priority Region</v>
      </c>
      <c r="N12" s="5" t="str">
        <f t="shared" si="2"/>
        <v>Payment Pending</v>
      </c>
      <c r="O12" s="5" t="str" cm="1">
        <f t="array" ref="O12">_xlfn.SWITCH(TRUE,F12&gt;=50000,"Very High",F12&gt;=30000,"High",F12&gt;=15000,"Medium",F12&lt;15000,"Low")</f>
        <v>Very High</v>
      </c>
      <c r="P12" s="5" t="str">
        <f t="shared" si="3"/>
        <v>Very High</v>
      </c>
      <c r="Q12" s="5"/>
      <c r="R12" s="5"/>
    </row>
    <row r="13" spans="1:18" x14ac:dyDescent="0.3">
      <c r="A13" s="11" t="s">
        <v>50</v>
      </c>
      <c r="B13" s="7" t="s">
        <v>51</v>
      </c>
      <c r="C13" s="7">
        <v>42</v>
      </c>
      <c r="D13" s="7" t="s">
        <v>31</v>
      </c>
      <c r="E13" s="7" t="s">
        <v>32</v>
      </c>
      <c r="F13" s="8">
        <v>41000</v>
      </c>
      <c r="G13" s="7" t="s">
        <v>24</v>
      </c>
      <c r="H13" s="7">
        <v>7</v>
      </c>
      <c r="I13" s="7" t="s">
        <v>25</v>
      </c>
      <c r="J13" s="7">
        <v>1</v>
      </c>
      <c r="K13" s="5" t="str">
        <f>IF(Practice_Data!F13&gt;=30000,"High Sales","Normal Sales")</f>
        <v>High Sales</v>
      </c>
      <c r="L13" s="5" t="str">
        <f t="shared" si="1"/>
        <v>Normal</v>
      </c>
      <c r="M13" s="5" t="str">
        <f t="shared" si="0"/>
        <v>Regular Region</v>
      </c>
      <c r="N13" s="5" t="str">
        <f t="shared" si="2"/>
        <v>Payment Pending</v>
      </c>
      <c r="O13" s="5" t="str" cm="1">
        <f t="array" ref="O13">_xlfn.SWITCH(TRUE,F13&gt;=50000,"Very High",F13&gt;=30000,"High",F13&gt;=15000,"Medium",F13&lt;15000,"Low")</f>
        <v>High</v>
      </c>
      <c r="P13" s="5" t="str">
        <f t="shared" si="3"/>
        <v>High</v>
      </c>
      <c r="Q13" s="5"/>
      <c r="R13" s="5"/>
    </row>
    <row r="14" spans="1:18" x14ac:dyDescent="0.3">
      <c r="A14" s="11" t="s">
        <v>52</v>
      </c>
      <c r="B14" s="7" t="s">
        <v>46</v>
      </c>
      <c r="C14" s="7">
        <v>24</v>
      </c>
      <c r="D14" s="7" t="s">
        <v>22</v>
      </c>
      <c r="E14" s="7" t="s">
        <v>23</v>
      </c>
      <c r="F14" s="8">
        <v>36500</v>
      </c>
      <c r="G14" s="7" t="s">
        <v>33</v>
      </c>
      <c r="H14" s="7">
        <v>8</v>
      </c>
      <c r="I14" s="7" t="s">
        <v>38</v>
      </c>
      <c r="J14" s="7">
        <v>5</v>
      </c>
      <c r="K14" s="5" t="str">
        <f>IF(Practice_Data!F14&gt;=30000,"High Sales","Normal Sales")</f>
        <v>High Sales</v>
      </c>
      <c r="L14" s="5" t="str">
        <f t="shared" si="1"/>
        <v>Normal</v>
      </c>
      <c r="M14" s="5" t="str">
        <f t="shared" si="0"/>
        <v>Regular Region</v>
      </c>
      <c r="N14" s="5" t="str">
        <f t="shared" si="2"/>
        <v>Payment Completed</v>
      </c>
      <c r="O14" s="5" t="str" cm="1">
        <f t="array" ref="O14">_xlfn.SWITCH(TRUE,F14&gt;=50000,"Very High",F14&gt;=30000,"High",F14&gt;=15000,"Medium",F14&lt;15000,"Low")</f>
        <v>High</v>
      </c>
      <c r="P14" s="5" t="str">
        <f t="shared" si="3"/>
        <v>High</v>
      </c>
      <c r="Q14" s="5"/>
      <c r="R14" s="5"/>
    </row>
    <row r="15" spans="1:18" x14ac:dyDescent="0.3">
      <c r="A15" s="11" t="s">
        <v>53</v>
      </c>
      <c r="B15" s="7" t="s">
        <v>21</v>
      </c>
      <c r="C15" s="7">
        <v>59</v>
      </c>
      <c r="D15" s="7" t="s">
        <v>22</v>
      </c>
      <c r="E15" s="7" t="s">
        <v>32</v>
      </c>
      <c r="F15" s="8">
        <v>22000</v>
      </c>
      <c r="G15" s="7" t="s">
        <v>24</v>
      </c>
      <c r="H15" s="7">
        <v>4</v>
      </c>
      <c r="I15" s="7" t="s">
        <v>36</v>
      </c>
      <c r="J15" s="7">
        <v>2</v>
      </c>
      <c r="K15" s="5" t="str">
        <f>IF(Practice_Data!F15&gt;=30000,"High Sales","Normal Sales")</f>
        <v>Normal Sales</v>
      </c>
      <c r="L15" s="5" t="str">
        <f t="shared" si="1"/>
        <v>Normal</v>
      </c>
      <c r="M15" s="5" t="str">
        <f t="shared" si="0"/>
        <v>Regular Region</v>
      </c>
      <c r="N15" s="5" t="str">
        <f t="shared" si="2"/>
        <v>Payment Pending</v>
      </c>
      <c r="O15" s="5" t="str" cm="1">
        <f t="array" ref="O15">_xlfn.SWITCH(TRUE,F15&gt;=50000,"Very High",F15&gt;=30000,"High",F15&gt;=15000,"Medium",F15&lt;15000,"Low")</f>
        <v>Medium</v>
      </c>
      <c r="P15" s="5" t="str">
        <f t="shared" si="3"/>
        <v>Medium</v>
      </c>
      <c r="Q15" s="5"/>
      <c r="R15" s="5"/>
    </row>
    <row r="16" spans="1:18" x14ac:dyDescent="0.3">
      <c r="A16" s="11" t="s">
        <v>54</v>
      </c>
      <c r="B16" s="7" t="s">
        <v>55</v>
      </c>
      <c r="C16" s="7">
        <v>42</v>
      </c>
      <c r="D16" s="7" t="s">
        <v>37</v>
      </c>
      <c r="E16" s="7" t="s">
        <v>23</v>
      </c>
      <c r="F16" s="8">
        <v>6500</v>
      </c>
      <c r="G16" s="7" t="s">
        <v>24</v>
      </c>
      <c r="H16" s="7">
        <v>5</v>
      </c>
      <c r="I16" s="7" t="s">
        <v>34</v>
      </c>
      <c r="J16" s="7">
        <v>1</v>
      </c>
      <c r="K16" s="5" t="str">
        <f>IF(Practice_Data!F16&gt;=30000,"High Sales","Normal Sales")</f>
        <v>Normal Sales</v>
      </c>
      <c r="L16" s="5" t="str">
        <f t="shared" si="1"/>
        <v>Normal</v>
      </c>
      <c r="M16" s="5" t="str">
        <f t="shared" si="0"/>
        <v>Priority Region</v>
      </c>
      <c r="N16" s="5" t="str">
        <f t="shared" si="2"/>
        <v>Payment Pending</v>
      </c>
      <c r="O16" s="5" t="str" cm="1">
        <f t="array" ref="O16">_xlfn.SWITCH(TRUE,F16&gt;=50000,"Very High",F16&gt;=30000,"High",F16&gt;=15000,"Medium",F16&lt;15000,"Low")</f>
        <v>Low</v>
      </c>
      <c r="P16" s="5" t="str">
        <f t="shared" si="3"/>
        <v>Low</v>
      </c>
      <c r="Q16" s="5"/>
      <c r="R16" s="5"/>
    </row>
    <row r="17" spans="1:18" x14ac:dyDescent="0.3">
      <c r="A17" s="11" t="s">
        <v>56</v>
      </c>
      <c r="B17" s="7" t="s">
        <v>57</v>
      </c>
      <c r="C17" s="7">
        <v>59</v>
      </c>
      <c r="D17" s="7" t="s">
        <v>22</v>
      </c>
      <c r="E17" s="7" t="s">
        <v>32</v>
      </c>
      <c r="F17" s="8">
        <v>45000</v>
      </c>
      <c r="G17" s="7" t="s">
        <v>24</v>
      </c>
      <c r="H17" s="7">
        <v>3</v>
      </c>
      <c r="I17" s="7" t="s">
        <v>38</v>
      </c>
      <c r="J17" s="7">
        <v>5</v>
      </c>
      <c r="K17" s="5" t="str">
        <f>IF(Practice_Data!F17&gt;=30000,"High Sales","Normal Sales")</f>
        <v>High Sales</v>
      </c>
      <c r="L17" s="5" t="str">
        <f t="shared" si="1"/>
        <v>Normal</v>
      </c>
      <c r="M17" s="5" t="str">
        <f t="shared" si="0"/>
        <v>Regular Region</v>
      </c>
      <c r="N17" s="5" t="str">
        <f t="shared" si="2"/>
        <v>Payment Pending</v>
      </c>
      <c r="O17" s="5" t="str" cm="1">
        <f t="array" ref="O17">_xlfn.SWITCH(TRUE,F17&gt;=50000,"Very High",F17&gt;=30000,"High",F17&gt;=15000,"Medium",F17&lt;15000,"Low")</f>
        <v>High</v>
      </c>
      <c r="P17" s="5" t="str">
        <f t="shared" si="3"/>
        <v>High</v>
      </c>
      <c r="Q17" s="5"/>
      <c r="R17" s="5"/>
    </row>
    <row r="18" spans="1:18" x14ac:dyDescent="0.3">
      <c r="A18" s="11" t="s">
        <v>58</v>
      </c>
      <c r="B18" s="7" t="s">
        <v>40</v>
      </c>
      <c r="C18" s="7">
        <v>24</v>
      </c>
      <c r="D18" s="7" t="s">
        <v>37</v>
      </c>
      <c r="E18" s="7" t="s">
        <v>23</v>
      </c>
      <c r="F18" s="8">
        <v>41000</v>
      </c>
      <c r="G18" s="7" t="s">
        <v>24</v>
      </c>
      <c r="H18" s="7">
        <v>8</v>
      </c>
      <c r="I18" s="7" t="s">
        <v>34</v>
      </c>
      <c r="J18" s="7">
        <v>1</v>
      </c>
      <c r="K18" s="5" t="str">
        <f>IF(Practice_Data!F18&gt;=30000,"High Sales","Normal Sales")</f>
        <v>High Sales</v>
      </c>
      <c r="L18" s="5" t="str">
        <f t="shared" si="1"/>
        <v>Normal</v>
      </c>
      <c r="M18" s="5" t="str">
        <f t="shared" si="0"/>
        <v>Priority Region</v>
      </c>
      <c r="N18" s="5" t="str">
        <f t="shared" si="2"/>
        <v>Payment Pending</v>
      </c>
      <c r="O18" s="5" t="str" cm="1">
        <f t="array" ref="O18">_xlfn.SWITCH(TRUE,F18&gt;=50000,"Very High",F18&gt;=30000,"High",F18&gt;=15000,"Medium",F18&lt;15000,"Low")</f>
        <v>High</v>
      </c>
      <c r="P18" s="5" t="str">
        <f t="shared" si="3"/>
        <v>High</v>
      </c>
      <c r="Q18" s="5"/>
      <c r="R18" s="5"/>
    </row>
    <row r="19" spans="1:18" x14ac:dyDescent="0.3">
      <c r="A19" s="11" t="s">
        <v>59</v>
      </c>
      <c r="B19" s="7" t="s">
        <v>28</v>
      </c>
      <c r="C19" s="7">
        <v>46</v>
      </c>
      <c r="D19" s="7" t="s">
        <v>31</v>
      </c>
      <c r="E19" s="7" t="s">
        <v>41</v>
      </c>
      <c r="F19" s="8">
        <v>32000</v>
      </c>
      <c r="G19" s="7" t="s">
        <v>24</v>
      </c>
      <c r="H19" s="7">
        <v>2</v>
      </c>
      <c r="I19" s="7" t="s">
        <v>36</v>
      </c>
      <c r="J19" s="7">
        <v>2</v>
      </c>
      <c r="K19" s="5" t="str">
        <f>IF(Practice_Data!F19&gt;=30000,"High Sales","Normal Sales")</f>
        <v>High Sales</v>
      </c>
      <c r="L19" s="5" t="str">
        <f t="shared" si="1"/>
        <v>Normal</v>
      </c>
      <c r="M19" s="5" t="str">
        <f t="shared" si="0"/>
        <v>Regular Region</v>
      </c>
      <c r="N19" s="5" t="str">
        <f t="shared" si="2"/>
        <v>Payment Pending</v>
      </c>
      <c r="O19" s="5" t="str" cm="1">
        <f t="array" ref="O19">_xlfn.SWITCH(TRUE,F19&gt;=50000,"Very High",F19&gt;=30000,"High",F19&gt;=15000,"Medium",F19&lt;15000,"Low")</f>
        <v>High</v>
      </c>
      <c r="P19" s="5" t="str">
        <f t="shared" si="3"/>
        <v>High</v>
      </c>
      <c r="Q19" s="5"/>
      <c r="R19" s="5"/>
    </row>
    <row r="20" spans="1:18" x14ac:dyDescent="0.3">
      <c r="A20" s="11" t="s">
        <v>60</v>
      </c>
      <c r="B20" s="7" t="s">
        <v>43</v>
      </c>
      <c r="C20" s="7">
        <v>24</v>
      </c>
      <c r="D20" s="7" t="s">
        <v>49</v>
      </c>
      <c r="E20" s="7" t="s">
        <v>61</v>
      </c>
      <c r="F20" s="8">
        <v>22000</v>
      </c>
      <c r="G20" s="7" t="s">
        <v>33</v>
      </c>
      <c r="H20" s="7">
        <v>2</v>
      </c>
      <c r="I20" s="7" t="s">
        <v>25</v>
      </c>
      <c r="J20" s="7">
        <v>5</v>
      </c>
      <c r="K20" s="5" t="str">
        <f>IF(Practice_Data!F20&gt;=30000,"High Sales","Normal Sales")</f>
        <v>Normal Sales</v>
      </c>
      <c r="L20" s="5" t="str">
        <f t="shared" si="1"/>
        <v>Normal</v>
      </c>
      <c r="M20" s="5" t="str">
        <f t="shared" si="0"/>
        <v>Priority Region</v>
      </c>
      <c r="N20" s="5" t="str">
        <f t="shared" si="2"/>
        <v>Payment Completed</v>
      </c>
      <c r="O20" s="5" t="str" cm="1">
        <f t="array" ref="O20">_xlfn.SWITCH(TRUE,F20&gt;=50000,"Very High",F20&gt;=30000,"High",F20&gt;=15000,"Medium",F20&lt;15000,"Low")</f>
        <v>Medium</v>
      </c>
      <c r="P20" s="5" t="str">
        <f t="shared" si="3"/>
        <v>Medium</v>
      </c>
      <c r="Q20" s="5"/>
      <c r="R20" s="5"/>
    </row>
    <row r="21" spans="1:18" x14ac:dyDescent="0.3">
      <c r="A21" s="11" t="s">
        <v>62</v>
      </c>
      <c r="B21" s="7" t="s">
        <v>46</v>
      </c>
      <c r="C21" s="7">
        <v>34</v>
      </c>
      <c r="D21" s="7" t="s">
        <v>49</v>
      </c>
      <c r="E21" s="7" t="s">
        <v>61</v>
      </c>
      <c r="F21" s="8">
        <v>41000</v>
      </c>
      <c r="G21" s="7" t="s">
        <v>24</v>
      </c>
      <c r="H21" s="7">
        <v>10</v>
      </c>
      <c r="I21" s="7" t="s">
        <v>38</v>
      </c>
      <c r="J21" s="7">
        <v>3</v>
      </c>
      <c r="K21" s="5" t="str">
        <f>IF(Practice_Data!F21&gt;=30000,"High Sales","Normal Sales")</f>
        <v>High Sales</v>
      </c>
      <c r="L21" s="5" t="str">
        <f t="shared" si="1"/>
        <v>Normal</v>
      </c>
      <c r="M21" s="5" t="str">
        <f t="shared" si="0"/>
        <v>Priority Region</v>
      </c>
      <c r="N21" s="5" t="str">
        <f t="shared" si="2"/>
        <v>Payment Pending</v>
      </c>
      <c r="O21" s="5" t="str" cm="1">
        <f t="array" ref="O21">_xlfn.SWITCH(TRUE,F21&gt;=50000,"Very High",F21&gt;=30000,"High",F21&gt;=15000,"Medium",F21&lt;15000,"Low")</f>
        <v>High</v>
      </c>
      <c r="P21" s="5" t="str">
        <f t="shared" si="3"/>
        <v>High</v>
      </c>
      <c r="Q21" s="5"/>
      <c r="R21" s="5"/>
    </row>
    <row r="22" spans="1:18" x14ac:dyDescent="0.3">
      <c r="A22" s="11" t="s">
        <v>63</v>
      </c>
      <c r="B22" s="7" t="s">
        <v>64</v>
      </c>
      <c r="C22" s="7">
        <v>59</v>
      </c>
      <c r="D22" s="7" t="s">
        <v>49</v>
      </c>
      <c r="E22" s="7" t="s">
        <v>41</v>
      </c>
      <c r="F22" s="8">
        <v>41000</v>
      </c>
      <c r="G22" s="7" t="s">
        <v>24</v>
      </c>
      <c r="H22" s="7">
        <v>4</v>
      </c>
      <c r="I22" s="7" t="s">
        <v>38</v>
      </c>
      <c r="J22" s="7">
        <v>4</v>
      </c>
      <c r="K22" s="5" t="str">
        <f>IF(Practice_Data!F22&gt;=30000,"High Sales","Normal Sales")</f>
        <v>High Sales</v>
      </c>
      <c r="L22" s="5" t="str">
        <f t="shared" si="1"/>
        <v>Normal</v>
      </c>
      <c r="M22" s="5" t="str">
        <f t="shared" si="0"/>
        <v>Priority Region</v>
      </c>
      <c r="N22" s="5" t="str">
        <f t="shared" si="2"/>
        <v>Payment Pending</v>
      </c>
      <c r="O22" s="5" t="str" cm="1">
        <f t="array" ref="O22">_xlfn.SWITCH(TRUE,F22&gt;=50000,"Very High",F22&gt;=30000,"High",F22&gt;=15000,"Medium",F22&lt;15000,"Low")</f>
        <v>High</v>
      </c>
      <c r="P22" s="5" t="str">
        <f t="shared" si="3"/>
        <v>High</v>
      </c>
      <c r="Q22" s="5"/>
      <c r="R22" s="5"/>
    </row>
    <row r="23" spans="1:18" x14ac:dyDescent="0.3">
      <c r="A23" s="11" t="s">
        <v>65</v>
      </c>
      <c r="B23" s="7" t="s">
        <v>46</v>
      </c>
      <c r="C23" s="7">
        <v>38</v>
      </c>
      <c r="D23" s="7" t="s">
        <v>37</v>
      </c>
      <c r="E23" s="7" t="s">
        <v>32</v>
      </c>
      <c r="F23" s="8">
        <v>29500</v>
      </c>
      <c r="G23" s="7" t="s">
        <v>24</v>
      </c>
      <c r="H23" s="7">
        <v>2</v>
      </c>
      <c r="I23" s="7" t="s">
        <v>34</v>
      </c>
      <c r="J23" s="7">
        <v>2</v>
      </c>
      <c r="K23" s="5" t="str">
        <f>IF(Practice_Data!F23&gt;=30000,"High Sales","Normal Sales")</f>
        <v>Normal Sales</v>
      </c>
      <c r="L23" s="5" t="str">
        <f t="shared" si="1"/>
        <v>Normal</v>
      </c>
      <c r="M23" s="5" t="str">
        <f t="shared" si="0"/>
        <v>Priority Region</v>
      </c>
      <c r="N23" s="5" t="str">
        <f t="shared" si="2"/>
        <v>Payment Pending</v>
      </c>
      <c r="O23" s="5" t="str" cm="1">
        <f t="array" ref="O23">_xlfn.SWITCH(TRUE,F23&gt;=50000,"Very High",F23&gt;=30000,"High",F23&gt;=15000,"Medium",F23&lt;15000,"Low")</f>
        <v>Medium</v>
      </c>
      <c r="P23" s="5" t="str">
        <f t="shared" si="3"/>
        <v>Medium</v>
      </c>
      <c r="Q23" s="5"/>
      <c r="R23" s="5"/>
    </row>
    <row r="24" spans="1:18" x14ac:dyDescent="0.3">
      <c r="A24" s="11" t="s">
        <v>66</v>
      </c>
      <c r="B24" s="7" t="s">
        <v>67</v>
      </c>
      <c r="C24" s="7">
        <v>71</v>
      </c>
      <c r="D24" s="7" t="s">
        <v>47</v>
      </c>
      <c r="E24" s="7" t="s">
        <v>41</v>
      </c>
      <c r="F24" s="8">
        <v>14500</v>
      </c>
      <c r="G24" s="7" t="s">
        <v>24</v>
      </c>
      <c r="H24" s="7">
        <v>3</v>
      </c>
      <c r="I24" s="7" t="s">
        <v>34</v>
      </c>
      <c r="J24" s="7">
        <v>5</v>
      </c>
      <c r="K24" s="5" t="str">
        <f>IF(Practice_Data!F24&gt;=30000,"High Sales","Normal Sales")</f>
        <v>Normal Sales</v>
      </c>
      <c r="L24" s="5" t="str">
        <f t="shared" si="1"/>
        <v>Normal</v>
      </c>
      <c r="M24" s="5" t="str">
        <f t="shared" si="0"/>
        <v>Regular Region</v>
      </c>
      <c r="N24" s="5" t="str">
        <f t="shared" si="2"/>
        <v>Payment Pending</v>
      </c>
      <c r="O24" s="5" t="str" cm="1">
        <f t="array" ref="O24">_xlfn.SWITCH(TRUE,F24&gt;=50000,"Very High",F24&gt;=30000,"High",F24&gt;=15000,"Medium",F24&lt;15000,"Low")</f>
        <v>Low</v>
      </c>
      <c r="P24" s="5" t="str">
        <f t="shared" si="3"/>
        <v>Low</v>
      </c>
      <c r="Q24" s="5"/>
      <c r="R24" s="5"/>
    </row>
    <row r="25" spans="1:18" x14ac:dyDescent="0.3">
      <c r="A25" s="11" t="s">
        <v>68</v>
      </c>
      <c r="B25" s="7" t="s">
        <v>51</v>
      </c>
      <c r="C25" s="7">
        <v>30</v>
      </c>
      <c r="D25" s="7" t="s">
        <v>47</v>
      </c>
      <c r="E25" s="7" t="s">
        <v>61</v>
      </c>
      <c r="F25" s="8">
        <v>10500</v>
      </c>
      <c r="G25" s="7" t="s">
        <v>24</v>
      </c>
      <c r="H25" s="7">
        <v>10</v>
      </c>
      <c r="I25" s="7" t="s">
        <v>34</v>
      </c>
      <c r="J25" s="7">
        <v>2</v>
      </c>
      <c r="K25" s="5" t="str">
        <f>IF(Practice_Data!F25&gt;=30000,"High Sales","Normal Sales")</f>
        <v>Normal Sales</v>
      </c>
      <c r="L25" s="5" t="str">
        <f t="shared" si="1"/>
        <v>Normal</v>
      </c>
      <c r="M25" s="5" t="str">
        <f t="shared" si="0"/>
        <v>Regular Region</v>
      </c>
      <c r="N25" s="5" t="str">
        <f t="shared" si="2"/>
        <v>Payment Pending</v>
      </c>
      <c r="O25" s="5" t="str" cm="1">
        <f t="array" ref="O25">_xlfn.SWITCH(TRUE,F25&gt;=50000,"Very High",F25&gt;=30000,"High",F25&gt;=15000,"Medium",F25&lt;15000,"Low")</f>
        <v>Low</v>
      </c>
      <c r="P25" s="5" t="str">
        <f t="shared" si="3"/>
        <v>Low</v>
      </c>
      <c r="Q25" s="5"/>
      <c r="R25" s="5"/>
    </row>
    <row r="26" spans="1:18" x14ac:dyDescent="0.3">
      <c r="A26" s="11" t="s">
        <v>69</v>
      </c>
      <c r="B26" s="7" t="s">
        <v>51</v>
      </c>
      <c r="C26" s="7">
        <v>34</v>
      </c>
      <c r="D26" s="7" t="s">
        <v>37</v>
      </c>
      <c r="E26" s="7" t="s">
        <v>23</v>
      </c>
      <c r="F26" s="8">
        <v>72000</v>
      </c>
      <c r="G26" s="7" t="s">
        <v>24</v>
      </c>
      <c r="H26" s="7">
        <v>5</v>
      </c>
      <c r="I26" s="7" t="s">
        <v>38</v>
      </c>
      <c r="J26" s="7">
        <v>5</v>
      </c>
      <c r="K26" s="5" t="str">
        <f>IF(Practice_Data!F26&gt;=30000,"High Sales","Normal Sales")</f>
        <v>High Sales</v>
      </c>
      <c r="L26" s="5" t="str">
        <f t="shared" si="1"/>
        <v>Normal</v>
      </c>
      <c r="M26" s="5" t="str">
        <f t="shared" si="0"/>
        <v>Priority Region</v>
      </c>
      <c r="N26" s="5" t="str">
        <f t="shared" si="2"/>
        <v>Payment Pending</v>
      </c>
      <c r="O26" s="5" t="str" cm="1">
        <f t="array" ref="O26">_xlfn.SWITCH(TRUE,F26&gt;=50000,"Very High",F26&gt;=30000,"High",F26&gt;=15000,"Medium",F26&lt;15000,"Low")</f>
        <v>Very High</v>
      </c>
      <c r="P26" s="5" t="str">
        <f t="shared" si="3"/>
        <v>Very High</v>
      </c>
      <c r="Q26" s="5"/>
      <c r="R26" s="5"/>
    </row>
    <row r="27" spans="1:18" x14ac:dyDescent="0.3">
      <c r="A27" s="11" t="s">
        <v>70</v>
      </c>
      <c r="B27" s="7" t="s">
        <v>40</v>
      </c>
      <c r="C27" s="7">
        <v>30</v>
      </c>
      <c r="D27" s="7" t="s">
        <v>22</v>
      </c>
      <c r="E27" s="7" t="s">
        <v>41</v>
      </c>
      <c r="F27" s="8">
        <v>22000</v>
      </c>
      <c r="G27" s="7" t="s">
        <v>24</v>
      </c>
      <c r="H27" s="7">
        <v>7</v>
      </c>
      <c r="I27" s="7" t="s">
        <v>25</v>
      </c>
      <c r="J27" s="7">
        <v>1</v>
      </c>
      <c r="K27" s="5" t="str">
        <f>IF(Practice_Data!F27&gt;=30000,"High Sales","Normal Sales")</f>
        <v>Normal Sales</v>
      </c>
      <c r="L27" s="5" t="str">
        <f t="shared" si="1"/>
        <v>Normal</v>
      </c>
      <c r="M27" s="5" t="str">
        <f t="shared" si="0"/>
        <v>Regular Region</v>
      </c>
      <c r="N27" s="5" t="str">
        <f t="shared" si="2"/>
        <v>Payment Pending</v>
      </c>
      <c r="O27" s="5" t="str" cm="1">
        <f t="array" ref="O27">_xlfn.SWITCH(TRUE,F27&gt;=50000,"Very High",F27&gt;=30000,"High",F27&gt;=15000,"Medium",F27&lt;15000,"Low")</f>
        <v>Medium</v>
      </c>
      <c r="P27" s="5" t="str">
        <f t="shared" si="3"/>
        <v>Medium</v>
      </c>
      <c r="Q27" s="5"/>
      <c r="R27" s="5"/>
    </row>
    <row r="28" spans="1:18" x14ac:dyDescent="0.3">
      <c r="A28" s="11" t="s">
        <v>71</v>
      </c>
      <c r="B28" s="7" t="s">
        <v>67</v>
      </c>
      <c r="C28" s="7">
        <v>51</v>
      </c>
      <c r="D28" s="7" t="s">
        <v>49</v>
      </c>
      <c r="E28" s="7" t="s">
        <v>41</v>
      </c>
      <c r="F28" s="8">
        <v>14500</v>
      </c>
      <c r="G28" s="7" t="s">
        <v>33</v>
      </c>
      <c r="H28" s="7">
        <v>9</v>
      </c>
      <c r="I28" s="7" t="s">
        <v>36</v>
      </c>
      <c r="J28" s="7">
        <v>4</v>
      </c>
      <c r="K28" s="5" t="str">
        <f>IF(Practice_Data!F28&gt;=30000,"High Sales","Normal Sales")</f>
        <v>Normal Sales</v>
      </c>
      <c r="L28" s="5" t="str">
        <f t="shared" si="1"/>
        <v>Normal</v>
      </c>
      <c r="M28" s="5" t="str">
        <f t="shared" si="0"/>
        <v>Priority Region</v>
      </c>
      <c r="N28" s="5" t="str">
        <f t="shared" si="2"/>
        <v>Payment Completed</v>
      </c>
      <c r="O28" s="5" t="str" cm="1">
        <f t="array" ref="O28">_xlfn.SWITCH(TRUE,F28&gt;=50000,"Very High",F28&gt;=30000,"High",F28&gt;=15000,"Medium",F28&lt;15000,"Low")</f>
        <v>Low</v>
      </c>
      <c r="P28" s="5" t="str">
        <f t="shared" si="3"/>
        <v>Low</v>
      </c>
      <c r="Q28" s="5"/>
      <c r="R28" s="5"/>
    </row>
    <row r="29" spans="1:18" x14ac:dyDescent="0.3">
      <c r="A29" s="11" t="s">
        <v>72</v>
      </c>
      <c r="B29" s="7" t="s">
        <v>73</v>
      </c>
      <c r="C29" s="7">
        <v>66</v>
      </c>
      <c r="D29" s="7" t="s">
        <v>31</v>
      </c>
      <c r="E29" s="7" t="s">
        <v>61</v>
      </c>
      <c r="F29" s="8">
        <v>60000</v>
      </c>
      <c r="G29" s="7" t="s">
        <v>24</v>
      </c>
      <c r="H29" s="7">
        <v>5</v>
      </c>
      <c r="I29" s="7" t="s">
        <v>28</v>
      </c>
      <c r="J29" s="7">
        <v>5</v>
      </c>
      <c r="K29" s="5" t="str">
        <f>IF(Practice_Data!F29&gt;=30000,"High Sales","Normal Sales")</f>
        <v>High Sales</v>
      </c>
      <c r="L29" s="5" t="str">
        <f t="shared" si="1"/>
        <v>Normal</v>
      </c>
      <c r="M29" s="5" t="str">
        <f t="shared" si="0"/>
        <v>Regular Region</v>
      </c>
      <c r="N29" s="5" t="str">
        <f t="shared" si="2"/>
        <v>Payment Pending</v>
      </c>
      <c r="O29" s="5" t="str" cm="1">
        <f t="array" ref="O29">_xlfn.SWITCH(TRUE,F29&gt;=50000,"Very High",F29&gt;=30000,"High",F29&gt;=15000,"Medium",F29&lt;15000,"Low")</f>
        <v>Very High</v>
      </c>
      <c r="P29" s="5" t="str">
        <f t="shared" si="3"/>
        <v>Very High</v>
      </c>
      <c r="Q29" s="5"/>
      <c r="R29" s="5"/>
    </row>
    <row r="30" spans="1:18" x14ac:dyDescent="0.3">
      <c r="A30" s="11" t="s">
        <v>74</v>
      </c>
      <c r="B30" s="7" t="s">
        <v>57</v>
      </c>
      <c r="C30" s="7">
        <v>55</v>
      </c>
      <c r="D30" s="7" t="s">
        <v>31</v>
      </c>
      <c r="E30" s="7" t="s">
        <v>41</v>
      </c>
      <c r="F30" s="8">
        <v>60000</v>
      </c>
      <c r="G30" s="7" t="s">
        <v>24</v>
      </c>
      <c r="H30" s="7">
        <v>3</v>
      </c>
      <c r="I30" s="7" t="s">
        <v>36</v>
      </c>
      <c r="J30" s="7">
        <v>1</v>
      </c>
      <c r="K30" s="5" t="str">
        <f>IF(Practice_Data!F30&gt;=30000,"High Sales","Normal Sales")</f>
        <v>High Sales</v>
      </c>
      <c r="L30" s="5" t="str">
        <f t="shared" si="1"/>
        <v>Normal</v>
      </c>
      <c r="M30" s="5" t="str">
        <f t="shared" si="0"/>
        <v>Regular Region</v>
      </c>
      <c r="N30" s="5" t="str">
        <f t="shared" si="2"/>
        <v>Payment Pending</v>
      </c>
      <c r="O30" s="5" t="str" cm="1">
        <f t="array" ref="O30">_xlfn.SWITCH(TRUE,F30&gt;=50000,"Very High",F30&gt;=30000,"High",F30&gt;=15000,"Medium",F30&lt;15000,"Low")</f>
        <v>Very High</v>
      </c>
      <c r="P30" s="5" t="str">
        <f t="shared" si="3"/>
        <v>Very High</v>
      </c>
      <c r="Q30" s="5"/>
      <c r="R30" s="5"/>
    </row>
    <row r="31" spans="1:18" x14ac:dyDescent="0.3">
      <c r="A31" s="11" t="s">
        <v>75</v>
      </c>
      <c r="B31" s="7" t="s">
        <v>36</v>
      </c>
      <c r="C31" s="7">
        <v>38</v>
      </c>
      <c r="D31" s="7" t="s">
        <v>37</v>
      </c>
      <c r="E31" s="7" t="s">
        <v>61</v>
      </c>
      <c r="F31" s="8">
        <v>36500</v>
      </c>
      <c r="G31" s="7" t="s">
        <v>24</v>
      </c>
      <c r="H31" s="7">
        <v>9</v>
      </c>
      <c r="I31" s="7" t="s">
        <v>28</v>
      </c>
      <c r="J31" s="7">
        <v>3</v>
      </c>
      <c r="K31" s="5" t="str">
        <f>IF(Practice_Data!F31&gt;=30000,"High Sales","Normal Sales")</f>
        <v>High Sales</v>
      </c>
      <c r="L31" s="5" t="str">
        <f t="shared" si="1"/>
        <v>Normal</v>
      </c>
      <c r="M31" s="5" t="str">
        <f t="shared" si="0"/>
        <v>Priority Region</v>
      </c>
      <c r="N31" s="5" t="str">
        <f t="shared" si="2"/>
        <v>Payment Pending</v>
      </c>
      <c r="O31" s="5" t="str" cm="1">
        <f t="array" ref="O31">_xlfn.SWITCH(TRUE,F31&gt;=50000,"Very High",F31&gt;=30000,"High",F31&gt;=15000,"Medium",F31&lt;15000,"Low")</f>
        <v>High</v>
      </c>
      <c r="P31" s="5" t="str">
        <f t="shared" si="3"/>
        <v>High</v>
      </c>
      <c r="Q31" s="5"/>
      <c r="R31" s="5"/>
    </row>
    <row r="32" spans="1:18" x14ac:dyDescent="0.3">
      <c r="A32" s="11" t="s">
        <v>76</v>
      </c>
      <c r="B32" s="7" t="s">
        <v>55</v>
      </c>
      <c r="C32" s="7">
        <v>71</v>
      </c>
      <c r="D32" s="7" t="s">
        <v>49</v>
      </c>
      <c r="E32" s="7" t="s">
        <v>32</v>
      </c>
      <c r="F32" s="8">
        <v>8500</v>
      </c>
      <c r="G32" s="7" t="s">
        <v>33</v>
      </c>
      <c r="H32" s="7">
        <v>8</v>
      </c>
      <c r="I32" s="7" t="s">
        <v>28</v>
      </c>
      <c r="J32" s="7">
        <v>5</v>
      </c>
      <c r="K32" s="5" t="str">
        <f>IF(Practice_Data!F32&gt;=30000,"High Sales","Normal Sales")</f>
        <v>Normal Sales</v>
      </c>
      <c r="L32" s="5" t="str">
        <f t="shared" si="1"/>
        <v>Normal</v>
      </c>
      <c r="M32" s="5" t="str">
        <f t="shared" si="0"/>
        <v>Priority Region</v>
      </c>
      <c r="N32" s="5" t="str">
        <f t="shared" si="2"/>
        <v>Payment Completed</v>
      </c>
      <c r="O32" s="5" t="str" cm="1">
        <f t="array" ref="O32">_xlfn.SWITCH(TRUE,F32&gt;=50000,"Very High",F32&gt;=30000,"High",F32&gt;=15000,"Medium",F32&lt;15000,"Low")</f>
        <v>Low</v>
      </c>
      <c r="P32" s="5" t="str">
        <f t="shared" si="3"/>
        <v>Low</v>
      </c>
      <c r="Q32" s="5"/>
      <c r="R32" s="5"/>
    </row>
    <row r="33" spans="1:18" x14ac:dyDescent="0.3">
      <c r="A33" s="11" t="s">
        <v>77</v>
      </c>
      <c r="B33" s="7" t="s">
        <v>73</v>
      </c>
      <c r="C33" s="7">
        <v>71</v>
      </c>
      <c r="D33" s="7" t="s">
        <v>47</v>
      </c>
      <c r="E33" s="7" t="s">
        <v>32</v>
      </c>
      <c r="F33" s="8">
        <v>36500</v>
      </c>
      <c r="G33" s="7" t="s">
        <v>24</v>
      </c>
      <c r="H33" s="7">
        <v>6</v>
      </c>
      <c r="I33" s="7" t="s">
        <v>34</v>
      </c>
      <c r="J33" s="7">
        <v>1</v>
      </c>
      <c r="K33" s="5" t="str">
        <f>IF(Practice_Data!F33&gt;=30000,"High Sales","Normal Sales")</f>
        <v>High Sales</v>
      </c>
      <c r="L33" s="5" t="str">
        <f t="shared" si="1"/>
        <v>Normal</v>
      </c>
      <c r="M33" s="5" t="str">
        <f t="shared" si="0"/>
        <v>Regular Region</v>
      </c>
      <c r="N33" s="5" t="str">
        <f t="shared" si="2"/>
        <v>Payment Pending</v>
      </c>
      <c r="O33" s="5" t="str" cm="1">
        <f t="array" ref="O33">_xlfn.SWITCH(TRUE,F33&gt;=50000,"Very High",F33&gt;=30000,"High",F33&gt;=15000,"Medium",F33&lt;15000,"Low")</f>
        <v>High</v>
      </c>
      <c r="P33" s="5" t="str">
        <f t="shared" si="3"/>
        <v>High</v>
      </c>
      <c r="Q33" s="5"/>
      <c r="R33" s="5"/>
    </row>
    <row r="34" spans="1:18" x14ac:dyDescent="0.3">
      <c r="A34" s="11" t="s">
        <v>78</v>
      </c>
      <c r="B34" s="7" t="s">
        <v>43</v>
      </c>
      <c r="C34" s="7">
        <v>51</v>
      </c>
      <c r="D34" s="7" t="s">
        <v>47</v>
      </c>
      <c r="E34" s="7" t="s">
        <v>61</v>
      </c>
      <c r="F34" s="8">
        <v>8500</v>
      </c>
      <c r="G34" s="7" t="s">
        <v>33</v>
      </c>
      <c r="H34" s="7">
        <v>2</v>
      </c>
      <c r="I34" s="7" t="s">
        <v>34</v>
      </c>
      <c r="J34" s="7">
        <v>5</v>
      </c>
      <c r="K34" s="5" t="str">
        <f>IF(Practice_Data!F34&gt;=30000,"High Sales","Normal Sales")</f>
        <v>Normal Sales</v>
      </c>
      <c r="L34" s="5" t="str">
        <f t="shared" si="1"/>
        <v>Normal</v>
      </c>
      <c r="M34" s="5" t="str">
        <f>IF(OR(D34="South",D34="west"),"Priority Region","Regular Region")</f>
        <v>Regular Region</v>
      </c>
      <c r="N34" s="5" t="str">
        <f t="shared" si="2"/>
        <v>Payment Completed</v>
      </c>
      <c r="O34" s="5" t="str" cm="1">
        <f t="array" ref="O34">_xlfn.SWITCH(TRUE,F34&gt;=50000,"Very High",F34&gt;=30000,"High",F34&gt;=15000,"Medium",F34&lt;15000,"Low")</f>
        <v>Low</v>
      </c>
      <c r="P34" s="5" t="str">
        <f t="shared" si="3"/>
        <v>Low</v>
      </c>
      <c r="Q34" s="5"/>
      <c r="R34" s="5"/>
    </row>
    <row r="35" spans="1:18" x14ac:dyDescent="0.3">
      <c r="A35" s="11" t="s">
        <v>79</v>
      </c>
      <c r="B35" s="7" t="s">
        <v>80</v>
      </c>
      <c r="C35" s="7">
        <v>24</v>
      </c>
      <c r="D35" s="7" t="s">
        <v>37</v>
      </c>
      <c r="E35" s="7" t="s">
        <v>41</v>
      </c>
      <c r="F35" s="8">
        <v>32000</v>
      </c>
      <c r="G35" s="7" t="s">
        <v>24</v>
      </c>
      <c r="H35" s="7">
        <v>9</v>
      </c>
      <c r="I35" s="7" t="s">
        <v>36</v>
      </c>
      <c r="J35" s="7">
        <v>3</v>
      </c>
      <c r="K35" s="5" t="str">
        <f>IF(Practice_Data!F35&gt;=30000,"High Sales","Normal Sales")</f>
        <v>High Sales</v>
      </c>
      <c r="L35" s="5" t="str">
        <f t="shared" si="1"/>
        <v>Normal</v>
      </c>
      <c r="M35" s="5" t="str">
        <f t="shared" si="0"/>
        <v>Priority Region</v>
      </c>
      <c r="N35" s="5" t="str">
        <f t="shared" si="2"/>
        <v>Payment Pending</v>
      </c>
      <c r="O35" s="5" t="str" cm="1">
        <f t="array" ref="O35">_xlfn.SWITCH(TRUE,F35&gt;=50000,"Very High",F35&gt;=30000,"High",F35&gt;=15000,"Medium",F35&lt;15000,"Low")</f>
        <v>High</v>
      </c>
      <c r="P35" s="5" t="str">
        <f t="shared" si="3"/>
        <v>High</v>
      </c>
      <c r="Q35" s="5"/>
      <c r="R35" s="5"/>
    </row>
    <row r="36" spans="1:18" x14ac:dyDescent="0.3">
      <c r="A36" s="11" t="s">
        <v>81</v>
      </c>
      <c r="B36" s="7" t="s">
        <v>82</v>
      </c>
      <c r="C36" s="7">
        <v>55</v>
      </c>
      <c r="D36" s="7" t="s">
        <v>47</v>
      </c>
      <c r="E36" s="7" t="s">
        <v>61</v>
      </c>
      <c r="F36" s="8">
        <v>22000</v>
      </c>
      <c r="G36" s="7" t="s">
        <v>33</v>
      </c>
      <c r="H36" s="7">
        <v>9</v>
      </c>
      <c r="I36" s="7" t="s">
        <v>34</v>
      </c>
      <c r="J36" s="7">
        <v>5</v>
      </c>
      <c r="K36" s="5" t="str">
        <f>IF(Practice_Data!F36&gt;=30000,"High Sales","Normal Sales")</f>
        <v>Normal Sales</v>
      </c>
      <c r="L36" s="5" t="str">
        <f t="shared" si="1"/>
        <v>Normal</v>
      </c>
      <c r="M36" s="5" t="str">
        <f t="shared" si="0"/>
        <v>Regular Region</v>
      </c>
      <c r="N36" s="5" t="str">
        <f t="shared" si="2"/>
        <v>Payment Completed</v>
      </c>
      <c r="O36" s="5" t="str" cm="1">
        <f t="array" ref="O36">_xlfn.SWITCH(TRUE,F36&gt;=50000,"Very High",F36&gt;=30000,"High",F36&gt;=15000,"Medium",F36&lt;15000,"Low")</f>
        <v>Medium</v>
      </c>
      <c r="P36" s="5" t="str">
        <f t="shared" si="3"/>
        <v>Medium</v>
      </c>
      <c r="Q36" s="5"/>
      <c r="R36" s="5"/>
    </row>
    <row r="37" spans="1:18" x14ac:dyDescent="0.3">
      <c r="A37" s="11" t="s">
        <v>83</v>
      </c>
      <c r="B37" s="7" t="s">
        <v>84</v>
      </c>
      <c r="C37" s="7">
        <v>38</v>
      </c>
      <c r="D37" s="7" t="s">
        <v>31</v>
      </c>
      <c r="E37" s="7" t="s">
        <v>44</v>
      </c>
      <c r="F37" s="8">
        <v>12500</v>
      </c>
      <c r="G37" s="7" t="s">
        <v>24</v>
      </c>
      <c r="H37" s="7">
        <v>9</v>
      </c>
      <c r="I37" s="7" t="s">
        <v>25</v>
      </c>
      <c r="J37" s="7">
        <v>2</v>
      </c>
      <c r="K37" s="5" t="str">
        <f>IF(Practice_Data!F37&gt;=30000,"High Sales","Normal Sales")</f>
        <v>Normal Sales</v>
      </c>
      <c r="L37" s="5" t="str">
        <f t="shared" si="1"/>
        <v>Normal</v>
      </c>
      <c r="M37" s="5" t="str">
        <f t="shared" si="0"/>
        <v>Regular Region</v>
      </c>
      <c r="N37" s="5" t="str">
        <f t="shared" si="2"/>
        <v>Payment Pending</v>
      </c>
      <c r="O37" s="5" t="str" cm="1">
        <f t="array" ref="O37">_xlfn.SWITCH(TRUE,F37&gt;=50000,"Very High",F37&gt;=30000,"High",F37&gt;=15000,"Medium",F37&lt;15000,"Low")</f>
        <v>Low</v>
      </c>
      <c r="P37" s="5" t="str">
        <f t="shared" si="3"/>
        <v>Low</v>
      </c>
      <c r="Q37" s="5"/>
      <c r="R37" s="5"/>
    </row>
    <row r="38" spans="1:18" x14ac:dyDescent="0.3">
      <c r="A38" s="11" t="s">
        <v>85</v>
      </c>
      <c r="B38" s="7" t="s">
        <v>86</v>
      </c>
      <c r="C38" s="7">
        <v>21</v>
      </c>
      <c r="D38" s="7" t="s">
        <v>37</v>
      </c>
      <c r="E38" s="7" t="s">
        <v>41</v>
      </c>
      <c r="F38" s="8">
        <v>14500</v>
      </c>
      <c r="G38" s="7" t="s">
        <v>24</v>
      </c>
      <c r="H38" s="7">
        <v>7</v>
      </c>
      <c r="I38" s="7" t="s">
        <v>38</v>
      </c>
      <c r="J38" s="7">
        <v>2</v>
      </c>
      <c r="K38" s="5" t="str">
        <f>IF(Practice_Data!F38&gt;=30000,"High Sales","Normal Sales")</f>
        <v>Normal Sales</v>
      </c>
      <c r="L38" s="5" t="str">
        <f t="shared" si="1"/>
        <v>Normal</v>
      </c>
      <c r="M38" s="5" t="str">
        <f t="shared" si="0"/>
        <v>Priority Region</v>
      </c>
      <c r="N38" s="5" t="str">
        <f t="shared" si="2"/>
        <v>Payment Pending</v>
      </c>
      <c r="O38" s="5" t="str" cm="1">
        <f t="array" ref="O38">_xlfn.SWITCH(TRUE,F38&gt;=50000,"Very High",F38&gt;=30000,"High",F38&gt;=15000,"Medium",F38&lt;15000,"Low")</f>
        <v>Low</v>
      </c>
      <c r="P38" s="5" t="str">
        <f t="shared" si="3"/>
        <v>Low</v>
      </c>
      <c r="Q38" s="5"/>
      <c r="R38" s="5"/>
    </row>
    <row r="39" spans="1:18" x14ac:dyDescent="0.3">
      <c r="A39" s="11" t="s">
        <v>87</v>
      </c>
      <c r="B39" s="7" t="s">
        <v>67</v>
      </c>
      <c r="C39" s="7">
        <v>46</v>
      </c>
      <c r="D39" s="7" t="s">
        <v>47</v>
      </c>
      <c r="E39" s="7" t="s">
        <v>41</v>
      </c>
      <c r="F39" s="8">
        <v>29500</v>
      </c>
      <c r="G39" s="7" t="s">
        <v>24</v>
      </c>
      <c r="H39" s="7">
        <v>2</v>
      </c>
      <c r="I39" s="7" t="s">
        <v>36</v>
      </c>
      <c r="J39" s="7">
        <v>3</v>
      </c>
      <c r="K39" s="5" t="str">
        <f>IF(Practice_Data!F39&gt;=30000,"High Sales","Normal Sales")</f>
        <v>Normal Sales</v>
      </c>
      <c r="L39" s="5" t="str">
        <f t="shared" si="1"/>
        <v>Normal</v>
      </c>
      <c r="M39" s="5" t="str">
        <f t="shared" si="0"/>
        <v>Regular Region</v>
      </c>
      <c r="N39" s="5" t="str">
        <f t="shared" si="2"/>
        <v>Payment Pending</v>
      </c>
      <c r="O39" s="5" t="str" cm="1">
        <f t="array" ref="O39">_xlfn.SWITCH(TRUE,F39&gt;=50000,"Very High",F39&gt;=30000,"High",F39&gt;=15000,"Medium",F39&lt;15000,"Low")</f>
        <v>Medium</v>
      </c>
      <c r="P39" s="5" t="str">
        <f t="shared" si="3"/>
        <v>Medium</v>
      </c>
      <c r="Q39" s="5"/>
      <c r="R39" s="5"/>
    </row>
    <row r="40" spans="1:18" x14ac:dyDescent="0.3">
      <c r="A40" s="11" t="s">
        <v>88</v>
      </c>
      <c r="B40" s="7" t="s">
        <v>89</v>
      </c>
      <c r="C40" s="7">
        <v>30</v>
      </c>
      <c r="D40" s="7" t="s">
        <v>31</v>
      </c>
      <c r="E40" s="7" t="s">
        <v>61</v>
      </c>
      <c r="F40" s="8">
        <v>29500</v>
      </c>
      <c r="G40" s="7" t="s">
        <v>24</v>
      </c>
      <c r="H40" s="7">
        <v>8</v>
      </c>
      <c r="I40" s="7" t="s">
        <v>38</v>
      </c>
      <c r="J40" s="7">
        <v>3</v>
      </c>
      <c r="K40" s="5" t="str">
        <f>IF(Practice_Data!F40&gt;=30000,"High Sales","Normal Sales")</f>
        <v>Normal Sales</v>
      </c>
      <c r="L40" s="5" t="str">
        <f t="shared" si="1"/>
        <v>Normal</v>
      </c>
      <c r="M40" s="5" t="str">
        <f t="shared" si="0"/>
        <v>Regular Region</v>
      </c>
      <c r="N40" s="5" t="str">
        <f t="shared" si="2"/>
        <v>Payment Pending</v>
      </c>
      <c r="O40" s="5" t="str" cm="1">
        <f t="array" ref="O40">_xlfn.SWITCH(TRUE,F40&gt;=50000,"Very High",F40&gt;=30000,"High",F40&gt;=15000,"Medium",F40&lt;15000,"Low")</f>
        <v>Medium</v>
      </c>
      <c r="P40" s="5" t="str">
        <f t="shared" si="3"/>
        <v>Medium</v>
      </c>
      <c r="Q40" s="5"/>
      <c r="R40" s="5"/>
    </row>
    <row r="41" spans="1:18" x14ac:dyDescent="0.3">
      <c r="A41" s="11" t="s">
        <v>90</v>
      </c>
      <c r="B41" s="7" t="s">
        <v>91</v>
      </c>
      <c r="C41" s="7">
        <v>55</v>
      </c>
      <c r="D41" s="7" t="s">
        <v>31</v>
      </c>
      <c r="E41" s="7" t="s">
        <v>32</v>
      </c>
      <c r="F41" s="8">
        <v>16500</v>
      </c>
      <c r="G41" s="7" t="s">
        <v>24</v>
      </c>
      <c r="H41" s="7">
        <v>6</v>
      </c>
      <c r="I41" s="7" t="s">
        <v>25</v>
      </c>
      <c r="J41" s="7">
        <v>5</v>
      </c>
      <c r="K41" s="5" t="str">
        <f>IF(Practice_Data!F41&gt;=30000,"High Sales","Normal Sales")</f>
        <v>Normal Sales</v>
      </c>
      <c r="L41" s="5" t="str">
        <f t="shared" si="1"/>
        <v>Normal</v>
      </c>
      <c r="M41" s="5" t="str">
        <f t="shared" si="0"/>
        <v>Regular Region</v>
      </c>
      <c r="N41" s="5" t="str">
        <f t="shared" si="2"/>
        <v>Payment Pending</v>
      </c>
      <c r="O41" s="5" t="str" cm="1">
        <f t="array" ref="O41">_xlfn.SWITCH(TRUE,F41&gt;=50000,"Very High",F41&gt;=30000,"High",F41&gt;=15000,"Medium",F41&lt;15000,"Low")</f>
        <v>Medium</v>
      </c>
      <c r="P41" s="5" t="str">
        <f t="shared" si="3"/>
        <v>Medium</v>
      </c>
      <c r="Q41" s="5"/>
      <c r="R41" s="5"/>
    </row>
    <row r="42" spans="1:18" x14ac:dyDescent="0.3">
      <c r="A42" s="11" t="s">
        <v>92</v>
      </c>
      <c r="B42" s="7" t="s">
        <v>93</v>
      </c>
      <c r="C42" s="7">
        <v>71</v>
      </c>
      <c r="D42" s="7" t="s">
        <v>49</v>
      </c>
      <c r="E42" s="7" t="s">
        <v>61</v>
      </c>
      <c r="F42" s="8">
        <v>60000</v>
      </c>
      <c r="G42" s="7" t="s">
        <v>33</v>
      </c>
      <c r="H42" s="7">
        <v>9</v>
      </c>
      <c r="I42" s="7" t="s">
        <v>25</v>
      </c>
      <c r="J42" s="7">
        <v>2</v>
      </c>
      <c r="K42" s="5" t="str">
        <f>IF(Practice_Data!F42&gt;=30000,"High Sales","Normal Sales")</f>
        <v>High Sales</v>
      </c>
      <c r="L42" s="5" t="str">
        <f t="shared" si="1"/>
        <v>Urgent</v>
      </c>
      <c r="M42" s="5" t="str">
        <f t="shared" si="0"/>
        <v>Priority Region</v>
      </c>
      <c r="N42" s="5" t="str">
        <f t="shared" si="2"/>
        <v>Payment Completed</v>
      </c>
      <c r="O42" s="5" t="str" cm="1">
        <f t="array" ref="O42">_xlfn.SWITCH(TRUE,F42&gt;=50000,"Very High",F42&gt;=30000,"High",F42&gt;=15000,"Medium",F42&lt;15000,"Low")</f>
        <v>Very High</v>
      </c>
      <c r="P42" s="5" t="str">
        <f t="shared" si="3"/>
        <v>Very High</v>
      </c>
      <c r="Q42" s="5"/>
      <c r="R42" s="5"/>
    </row>
    <row r="43" spans="1:18" x14ac:dyDescent="0.3">
      <c r="A43" s="11" t="s">
        <v>94</v>
      </c>
      <c r="B43" s="7" t="s">
        <v>95</v>
      </c>
      <c r="C43" s="7">
        <v>24</v>
      </c>
      <c r="D43" s="7" t="s">
        <v>31</v>
      </c>
      <c r="E43" s="7" t="s">
        <v>32</v>
      </c>
      <c r="F43" s="8">
        <v>26000</v>
      </c>
      <c r="G43" s="7" t="s">
        <v>33</v>
      </c>
      <c r="H43" s="7">
        <v>10</v>
      </c>
      <c r="I43" s="7" t="s">
        <v>36</v>
      </c>
      <c r="J43" s="7">
        <v>1</v>
      </c>
      <c r="K43" s="5" t="str">
        <f>IF(Practice_Data!F43&gt;=30000,"High Sales","Normal Sales")</f>
        <v>Normal Sales</v>
      </c>
      <c r="L43" s="5" t="str">
        <f t="shared" si="1"/>
        <v>Normal</v>
      </c>
      <c r="M43" s="5" t="str">
        <f t="shared" si="0"/>
        <v>Regular Region</v>
      </c>
      <c r="N43" s="5" t="str">
        <f t="shared" si="2"/>
        <v>Payment Completed</v>
      </c>
      <c r="O43" s="5" t="str" cm="1">
        <f t="array" ref="O43">_xlfn.SWITCH(TRUE,F43&gt;=50000,"Very High",F43&gt;=30000,"High",F43&gt;=15000,"Medium",F43&lt;15000,"Low")</f>
        <v>Medium</v>
      </c>
      <c r="P43" s="5" t="str">
        <f t="shared" si="3"/>
        <v>Medium</v>
      </c>
      <c r="Q43" s="5"/>
      <c r="R43" s="5"/>
    </row>
    <row r="44" spans="1:18" x14ac:dyDescent="0.3">
      <c r="A44" s="11" t="s">
        <v>96</v>
      </c>
      <c r="B44" s="7" t="s">
        <v>57</v>
      </c>
      <c r="C44" s="7">
        <v>42</v>
      </c>
      <c r="D44" s="7" t="s">
        <v>37</v>
      </c>
      <c r="E44" s="7" t="s">
        <v>23</v>
      </c>
      <c r="F44" s="8">
        <v>8500</v>
      </c>
      <c r="G44" s="7" t="s">
        <v>24</v>
      </c>
      <c r="H44" s="7">
        <v>8</v>
      </c>
      <c r="I44" s="7" t="s">
        <v>28</v>
      </c>
      <c r="J44" s="7">
        <v>5</v>
      </c>
      <c r="K44" s="5" t="str">
        <f>IF(Practice_Data!F44&gt;=30000,"High Sales","Normal Sales")</f>
        <v>Normal Sales</v>
      </c>
      <c r="L44" s="5" t="str">
        <f t="shared" si="1"/>
        <v>Normal</v>
      </c>
      <c r="M44" s="5" t="str">
        <f t="shared" si="0"/>
        <v>Priority Region</v>
      </c>
      <c r="N44" s="5" t="str">
        <f t="shared" si="2"/>
        <v>Payment Pending</v>
      </c>
      <c r="O44" s="5" t="str" cm="1">
        <f t="array" ref="O44">_xlfn.SWITCH(TRUE,F44&gt;=50000,"Very High",F44&gt;=30000,"High",F44&gt;=15000,"Medium",F44&lt;15000,"Low")</f>
        <v>Low</v>
      </c>
      <c r="P44" s="5" t="str">
        <f t="shared" si="3"/>
        <v>Low</v>
      </c>
      <c r="Q44" s="5"/>
      <c r="R44" s="5"/>
    </row>
    <row r="45" spans="1:18" x14ac:dyDescent="0.3">
      <c r="A45" s="11" t="s">
        <v>97</v>
      </c>
      <c r="B45" s="7" t="s">
        <v>73</v>
      </c>
      <c r="C45" s="7">
        <v>46</v>
      </c>
      <c r="D45" s="7" t="s">
        <v>49</v>
      </c>
      <c r="E45" s="7" t="s">
        <v>44</v>
      </c>
      <c r="F45" s="8">
        <v>18500</v>
      </c>
      <c r="G45" s="7" t="s">
        <v>33</v>
      </c>
      <c r="H45" s="7">
        <v>2</v>
      </c>
      <c r="I45" s="7" t="s">
        <v>28</v>
      </c>
      <c r="J45" s="7">
        <v>2</v>
      </c>
      <c r="K45" s="5" t="str">
        <f>IF(Practice_Data!F45&gt;=30000,"High Sales","Normal Sales")</f>
        <v>Normal Sales</v>
      </c>
      <c r="L45" s="5" t="str">
        <f t="shared" si="1"/>
        <v>Normal</v>
      </c>
      <c r="M45" s="5" t="str">
        <f t="shared" si="0"/>
        <v>Priority Region</v>
      </c>
      <c r="N45" s="5" t="str">
        <f t="shared" si="2"/>
        <v>Payment Completed</v>
      </c>
      <c r="O45" s="5" t="str" cm="1">
        <f t="array" ref="O45">_xlfn.SWITCH(TRUE,F45&gt;=50000,"Very High",F45&gt;=30000,"High",F45&gt;=15000,"Medium",F45&lt;15000,"Low")</f>
        <v>Medium</v>
      </c>
      <c r="P45" s="5" t="str">
        <f t="shared" si="3"/>
        <v>Medium</v>
      </c>
      <c r="Q45" s="5"/>
      <c r="R45" s="5"/>
    </row>
    <row r="46" spans="1:18" x14ac:dyDescent="0.3">
      <c r="A46" s="11" t="s">
        <v>98</v>
      </c>
      <c r="B46" s="7" t="s">
        <v>30</v>
      </c>
      <c r="C46" s="7">
        <v>24</v>
      </c>
      <c r="D46" s="7" t="s">
        <v>37</v>
      </c>
      <c r="E46" s="7" t="s">
        <v>23</v>
      </c>
      <c r="F46" s="8">
        <v>6500</v>
      </c>
      <c r="G46" s="7" t="s">
        <v>24</v>
      </c>
      <c r="H46" s="7">
        <v>7</v>
      </c>
      <c r="I46" s="7" t="s">
        <v>38</v>
      </c>
      <c r="J46" s="7">
        <v>5</v>
      </c>
      <c r="K46" s="5" t="str">
        <f>IF(Practice_Data!F46&gt;=30000,"High Sales","Normal Sales")</f>
        <v>Normal Sales</v>
      </c>
      <c r="L46" s="5" t="str">
        <f t="shared" si="1"/>
        <v>Normal</v>
      </c>
      <c r="M46" s="5" t="str">
        <f t="shared" si="0"/>
        <v>Priority Region</v>
      </c>
      <c r="N46" s="5" t="str">
        <f t="shared" si="2"/>
        <v>Payment Pending</v>
      </c>
      <c r="O46" s="5" t="str" cm="1">
        <f t="array" ref="O46">_xlfn.SWITCH(TRUE,F46&gt;=50000,"Very High",F46&gt;=30000,"High",F46&gt;=15000,"Medium",F46&lt;15000,"Low")</f>
        <v>Low</v>
      </c>
      <c r="P46" s="5" t="str">
        <f t="shared" si="3"/>
        <v>Low</v>
      </c>
      <c r="Q46" s="5"/>
      <c r="R46" s="5"/>
    </row>
    <row r="47" spans="1:18" x14ac:dyDescent="0.3">
      <c r="A47" s="11" t="s">
        <v>99</v>
      </c>
      <c r="B47" s="7" t="s">
        <v>51</v>
      </c>
      <c r="C47" s="7">
        <v>30</v>
      </c>
      <c r="D47" s="7" t="s">
        <v>37</v>
      </c>
      <c r="E47" s="7" t="s">
        <v>61</v>
      </c>
      <c r="F47" s="8">
        <v>16500</v>
      </c>
      <c r="G47" s="7" t="s">
        <v>24</v>
      </c>
      <c r="H47" s="7">
        <v>6</v>
      </c>
      <c r="I47" s="7" t="s">
        <v>25</v>
      </c>
      <c r="J47" s="7">
        <v>3</v>
      </c>
      <c r="K47" s="5" t="str">
        <f>IF(Practice_Data!F47&gt;=30000,"High Sales","Normal Sales")</f>
        <v>Normal Sales</v>
      </c>
      <c r="L47" s="5" t="str">
        <f t="shared" si="1"/>
        <v>Normal</v>
      </c>
      <c r="M47" s="5" t="str">
        <f t="shared" si="0"/>
        <v>Priority Region</v>
      </c>
      <c r="N47" s="5" t="str">
        <f t="shared" si="2"/>
        <v>Payment Pending</v>
      </c>
      <c r="O47" s="5" t="str" cm="1">
        <f t="array" ref="O47">_xlfn.SWITCH(TRUE,F47&gt;=50000,"Very High",F47&gt;=30000,"High",F47&gt;=15000,"Medium",F47&lt;15000,"Low")</f>
        <v>Medium</v>
      </c>
      <c r="P47" s="5" t="str">
        <f t="shared" si="3"/>
        <v>Medium</v>
      </c>
      <c r="Q47" s="5"/>
      <c r="R47" s="5"/>
    </row>
    <row r="48" spans="1:18" x14ac:dyDescent="0.3">
      <c r="A48" s="11" t="s">
        <v>100</v>
      </c>
      <c r="B48" s="7" t="s">
        <v>64</v>
      </c>
      <c r="C48" s="7">
        <v>21</v>
      </c>
      <c r="D48" s="7" t="s">
        <v>22</v>
      </c>
      <c r="E48" s="7" t="s">
        <v>44</v>
      </c>
      <c r="F48" s="8">
        <v>52000</v>
      </c>
      <c r="G48" s="7" t="s">
        <v>24</v>
      </c>
      <c r="H48" s="7">
        <v>5</v>
      </c>
      <c r="I48" s="7" t="s">
        <v>36</v>
      </c>
      <c r="J48" s="7">
        <v>5</v>
      </c>
      <c r="K48" s="5" t="str">
        <f>IF(Practice_Data!F48&gt;=30000,"High Sales","Normal Sales")</f>
        <v>High Sales</v>
      </c>
      <c r="L48" s="5" t="str">
        <f t="shared" si="1"/>
        <v>Normal</v>
      </c>
      <c r="M48" s="5" t="str">
        <f t="shared" si="0"/>
        <v>Regular Region</v>
      </c>
      <c r="N48" s="5" t="str">
        <f t="shared" si="2"/>
        <v>Payment Pending</v>
      </c>
      <c r="O48" s="5" t="str" cm="1">
        <f t="array" ref="O48">_xlfn.SWITCH(TRUE,F48&gt;=50000,"Very High",F48&gt;=30000,"High",F48&gt;=15000,"Medium",F48&lt;15000,"Low")</f>
        <v>Very High</v>
      </c>
      <c r="P48" s="5" t="str">
        <f t="shared" si="3"/>
        <v>Very High</v>
      </c>
      <c r="Q48" s="5"/>
      <c r="R48" s="5"/>
    </row>
    <row r="49" spans="1:18" x14ac:dyDescent="0.3">
      <c r="A49" s="11" t="s">
        <v>101</v>
      </c>
      <c r="B49" s="7" t="s">
        <v>93</v>
      </c>
      <c r="C49" s="7">
        <v>42</v>
      </c>
      <c r="D49" s="7" t="s">
        <v>47</v>
      </c>
      <c r="E49" s="7" t="s">
        <v>44</v>
      </c>
      <c r="F49" s="8">
        <v>41000</v>
      </c>
      <c r="G49" s="7" t="s">
        <v>24</v>
      </c>
      <c r="H49" s="7">
        <v>9</v>
      </c>
      <c r="I49" s="7" t="s">
        <v>28</v>
      </c>
      <c r="J49" s="7">
        <v>1</v>
      </c>
      <c r="K49" s="5" t="str">
        <f>IF(Practice_Data!F49&gt;=30000,"High Sales","Normal Sales")</f>
        <v>High Sales</v>
      </c>
      <c r="L49" s="5" t="str">
        <f t="shared" si="1"/>
        <v>Normal</v>
      </c>
      <c r="M49" s="5" t="str">
        <f t="shared" si="0"/>
        <v>Regular Region</v>
      </c>
      <c r="N49" s="5" t="str">
        <f t="shared" si="2"/>
        <v>Payment Pending</v>
      </c>
      <c r="O49" s="5" t="str" cm="1">
        <f t="array" ref="O49">_xlfn.SWITCH(TRUE,F49&gt;=50000,"Very High",F49&gt;=30000,"High",F49&gt;=15000,"Medium",F49&lt;15000,"Low")</f>
        <v>High</v>
      </c>
      <c r="P49" s="5" t="str">
        <f t="shared" si="3"/>
        <v>High</v>
      </c>
      <c r="Q49" s="5"/>
      <c r="R49" s="5"/>
    </row>
    <row r="50" spans="1:18" x14ac:dyDescent="0.3">
      <c r="A50" s="11" t="s">
        <v>102</v>
      </c>
      <c r="B50" s="7" t="s">
        <v>86</v>
      </c>
      <c r="C50" s="7">
        <v>46</v>
      </c>
      <c r="D50" s="7" t="s">
        <v>31</v>
      </c>
      <c r="E50" s="7" t="s">
        <v>44</v>
      </c>
      <c r="F50" s="8">
        <v>12500</v>
      </c>
      <c r="G50" s="7" t="s">
        <v>24</v>
      </c>
      <c r="H50" s="7">
        <v>7</v>
      </c>
      <c r="I50" s="7" t="s">
        <v>38</v>
      </c>
      <c r="J50" s="7">
        <v>5</v>
      </c>
      <c r="K50" s="5" t="str">
        <f>IF(Practice_Data!F50&gt;=30000,"High Sales","Normal Sales")</f>
        <v>Normal Sales</v>
      </c>
      <c r="L50" s="5" t="str">
        <f t="shared" si="1"/>
        <v>Normal</v>
      </c>
      <c r="M50" s="5" t="str">
        <f t="shared" si="0"/>
        <v>Regular Region</v>
      </c>
      <c r="N50" s="5" t="str">
        <f t="shared" si="2"/>
        <v>Payment Pending</v>
      </c>
      <c r="O50" s="5" t="str" cm="1">
        <f t="array" ref="O50">_xlfn.SWITCH(TRUE,F50&gt;=50000,"Very High",F50&gt;=30000,"High",F50&gt;=15000,"Medium",F50&lt;15000,"Low")</f>
        <v>Low</v>
      </c>
      <c r="P50" s="5" t="str">
        <f t="shared" si="3"/>
        <v>Low</v>
      </c>
      <c r="Q50" s="5"/>
      <c r="R50" s="5"/>
    </row>
    <row r="51" spans="1:18" x14ac:dyDescent="0.3">
      <c r="A51" s="11" t="s">
        <v>103</v>
      </c>
      <c r="B51" s="7" t="s">
        <v>104</v>
      </c>
      <c r="C51" s="7">
        <v>46</v>
      </c>
      <c r="D51" s="7" t="s">
        <v>47</v>
      </c>
      <c r="E51" s="7" t="s">
        <v>61</v>
      </c>
      <c r="F51" s="8">
        <v>29500</v>
      </c>
      <c r="G51" s="7" t="s">
        <v>24</v>
      </c>
      <c r="H51" s="7">
        <v>8</v>
      </c>
      <c r="I51" s="7" t="s">
        <v>25</v>
      </c>
      <c r="J51" s="7">
        <v>1</v>
      </c>
      <c r="K51" s="5" t="str">
        <f>IF(Practice_Data!F51&gt;=30000,"High Sales","Normal Sales")</f>
        <v>Normal Sales</v>
      </c>
      <c r="L51" s="5" t="str">
        <f t="shared" si="1"/>
        <v>Normal</v>
      </c>
      <c r="M51" s="5" t="str">
        <f t="shared" si="0"/>
        <v>Regular Region</v>
      </c>
      <c r="N51" s="5" t="str">
        <f t="shared" si="2"/>
        <v>Payment Pending</v>
      </c>
      <c r="O51" s="5" t="str" cm="1">
        <f t="array" ref="O51">_xlfn.SWITCH(TRUE,F51&gt;=50000,"Very High",F51&gt;=30000,"High",F51&gt;=15000,"Medium",F51&lt;15000,"Low")</f>
        <v>Medium</v>
      </c>
      <c r="P51" s="5" t="str">
        <f t="shared" si="3"/>
        <v>Medium</v>
      </c>
      <c r="Q51" s="5"/>
      <c r="R51" s="5"/>
    </row>
    <row r="52" spans="1:18" x14ac:dyDescent="0.3">
      <c r="A52" s="11" t="s">
        <v>105</v>
      </c>
      <c r="B52" s="7" t="s">
        <v>91</v>
      </c>
      <c r="C52" s="7">
        <v>71</v>
      </c>
      <c r="D52" s="7" t="s">
        <v>31</v>
      </c>
      <c r="E52" s="7" t="s">
        <v>41</v>
      </c>
      <c r="F52" s="8">
        <v>32000</v>
      </c>
      <c r="G52" s="7" t="s">
        <v>33</v>
      </c>
      <c r="H52" s="7">
        <v>5</v>
      </c>
      <c r="I52" s="7" t="s">
        <v>36</v>
      </c>
      <c r="J52" s="7">
        <v>4</v>
      </c>
      <c r="K52" s="5" t="str">
        <f>IF(Practice_Data!F52&gt;=30000,"High Sales","Normal Sales")</f>
        <v>High Sales</v>
      </c>
      <c r="L52" s="5" t="str">
        <f t="shared" si="1"/>
        <v>Normal</v>
      </c>
      <c r="M52" s="5" t="str">
        <f t="shared" si="0"/>
        <v>Regular Region</v>
      </c>
      <c r="N52" s="5" t="str">
        <f t="shared" si="2"/>
        <v>Payment Completed</v>
      </c>
      <c r="O52" s="5" t="str" cm="1">
        <f t="array" ref="O52">_xlfn.SWITCH(TRUE,F52&gt;=50000,"Very High",F52&gt;=30000,"High",F52&gt;=15000,"Medium",F52&lt;15000,"Low")</f>
        <v>High</v>
      </c>
      <c r="P52" s="5" t="str">
        <f t="shared" si="3"/>
        <v>High</v>
      </c>
      <c r="Q52" s="5"/>
      <c r="R52" s="5"/>
    </row>
    <row r="53" spans="1:18" x14ac:dyDescent="0.3">
      <c r="A53" s="11" t="s">
        <v>106</v>
      </c>
      <c r="B53" s="7" t="s">
        <v>107</v>
      </c>
      <c r="C53" s="7">
        <v>27</v>
      </c>
      <c r="D53" s="7" t="s">
        <v>37</v>
      </c>
      <c r="E53" s="7" t="s">
        <v>44</v>
      </c>
      <c r="F53" s="8">
        <v>6500</v>
      </c>
      <c r="G53" s="7" t="s">
        <v>24</v>
      </c>
      <c r="H53" s="7">
        <v>3</v>
      </c>
      <c r="I53" s="7" t="s">
        <v>38</v>
      </c>
      <c r="J53" s="7">
        <v>3</v>
      </c>
      <c r="K53" s="5" t="str">
        <f>IF(Practice_Data!F53&gt;=30000,"High Sales","Normal Sales")</f>
        <v>Normal Sales</v>
      </c>
      <c r="L53" s="5" t="str">
        <f t="shared" si="1"/>
        <v>Normal</v>
      </c>
      <c r="M53" s="5" t="str">
        <f t="shared" si="0"/>
        <v>Priority Region</v>
      </c>
      <c r="N53" s="5" t="str">
        <f t="shared" si="2"/>
        <v>Payment Pending</v>
      </c>
      <c r="O53" s="5" t="str" cm="1">
        <f t="array" ref="O53">_xlfn.SWITCH(TRUE,F53&gt;=50000,"Very High",F53&gt;=30000,"High",F53&gt;=15000,"Medium",F53&lt;15000,"Low")</f>
        <v>Low</v>
      </c>
      <c r="P53" s="5" t="str">
        <f t="shared" si="3"/>
        <v>Low</v>
      </c>
      <c r="Q53" s="5"/>
      <c r="R53" s="5"/>
    </row>
    <row r="54" spans="1:18" x14ac:dyDescent="0.3">
      <c r="A54" s="11" t="s">
        <v>108</v>
      </c>
      <c r="B54" s="7" t="s">
        <v>107</v>
      </c>
      <c r="C54" s="7">
        <v>27</v>
      </c>
      <c r="D54" s="7" t="s">
        <v>49</v>
      </c>
      <c r="E54" s="7" t="s">
        <v>32</v>
      </c>
      <c r="F54" s="8">
        <v>45000</v>
      </c>
      <c r="G54" s="7" t="s">
        <v>33</v>
      </c>
      <c r="H54" s="7">
        <v>8</v>
      </c>
      <c r="I54" s="7" t="s">
        <v>28</v>
      </c>
      <c r="J54" s="7">
        <v>1</v>
      </c>
      <c r="K54" s="5" t="str">
        <f>IF(Practice_Data!F54&gt;=30000,"High Sales","Normal Sales")</f>
        <v>High Sales</v>
      </c>
      <c r="L54" s="5" t="str">
        <f t="shared" si="1"/>
        <v>Urgent</v>
      </c>
      <c r="M54" s="5" t="str">
        <f t="shared" si="0"/>
        <v>Priority Region</v>
      </c>
      <c r="N54" s="5" t="str">
        <f t="shared" si="2"/>
        <v>Payment Completed</v>
      </c>
      <c r="O54" s="5" t="str" cm="1">
        <f t="array" ref="O54">_xlfn.SWITCH(TRUE,F54&gt;=50000,"Very High",F54&gt;=30000,"High",F54&gt;=15000,"Medium",F54&lt;15000,"Low")</f>
        <v>High</v>
      </c>
      <c r="P54" s="5" t="str">
        <f t="shared" si="3"/>
        <v>High</v>
      </c>
      <c r="Q54" s="5"/>
      <c r="R54" s="5"/>
    </row>
  </sheetData>
  <mergeCells count="2">
    <mergeCell ref="A2:R2"/>
    <mergeCell ref="A1:R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9"/>
  <sheetViews>
    <sheetView tabSelected="1" topLeftCell="B1" workbookViewId="0">
      <selection activeCell="D15" sqref="D15"/>
    </sheetView>
  </sheetViews>
  <sheetFormatPr defaultRowHeight="14.4" x14ac:dyDescent="0.3"/>
  <cols>
    <col min="1" max="1" width="18" customWidth="1"/>
    <col min="2" max="2" width="40" customWidth="1"/>
    <col min="3" max="3" width="35" customWidth="1"/>
    <col min="4" max="4" width="20" customWidth="1"/>
    <col min="5" max="5" width="58" customWidth="1"/>
    <col min="6" max="6" width="20" customWidth="1"/>
  </cols>
  <sheetData>
    <row r="1" spans="1:6" ht="19.8" x14ac:dyDescent="0.3">
      <c r="A1" s="19" t="s">
        <v>164</v>
      </c>
      <c r="B1" s="18"/>
      <c r="C1" s="18"/>
      <c r="D1" s="18"/>
      <c r="E1" s="18"/>
      <c r="F1" s="18"/>
    </row>
    <row r="3" spans="1:6" x14ac:dyDescent="0.3">
      <c r="A3" s="2" t="s">
        <v>165</v>
      </c>
      <c r="B3" s="2" t="s">
        <v>166</v>
      </c>
      <c r="C3" s="2" t="s">
        <v>167</v>
      </c>
      <c r="D3" s="2" t="s">
        <v>168</v>
      </c>
      <c r="E3" s="2" t="s">
        <v>169</v>
      </c>
      <c r="F3" s="2" t="s">
        <v>170</v>
      </c>
    </row>
    <row r="4" spans="1:6" x14ac:dyDescent="0.3">
      <c r="A4" s="3" t="s">
        <v>132</v>
      </c>
      <c r="B4" s="3" t="s">
        <v>171</v>
      </c>
      <c r="C4" s="3" t="s">
        <v>172</v>
      </c>
      <c r="D4" s="21">
        <f>SUM(F30:F79)</f>
        <v>1544500</v>
      </c>
      <c r="E4" s="3">
        <f>SUM(F5:F54)</f>
        <v>883500</v>
      </c>
      <c r="F4" s="3" t="s">
        <v>173</v>
      </c>
    </row>
    <row r="5" spans="1:6" x14ac:dyDescent="0.3">
      <c r="A5" s="3" t="s">
        <v>135</v>
      </c>
      <c r="B5" s="3" t="s">
        <v>174</v>
      </c>
      <c r="C5" s="3" t="s">
        <v>175</v>
      </c>
      <c r="D5" s="21">
        <f>SUMIF(D30:D79,"south",F30:F79)</f>
        <v>310500</v>
      </c>
      <c r="E5" s="3">
        <f>SUMIF(D5:D54,"South",F5:F54)</f>
        <v>178500</v>
      </c>
      <c r="F5" s="3" t="s">
        <v>173</v>
      </c>
    </row>
    <row r="6" spans="1:6" x14ac:dyDescent="0.3">
      <c r="A6" s="3" t="s">
        <v>135</v>
      </c>
      <c r="B6" s="3" t="s">
        <v>176</v>
      </c>
      <c r="C6" s="3" t="s">
        <v>177</v>
      </c>
      <c r="D6" s="20">
        <f>SUMIF(E30:E79,"electronics",F30:F79)</f>
        <v>301000</v>
      </c>
      <c r="E6" s="3" t="str">
        <f ca="1">SUMIF(E5:E54,"Electronics",F5:F54)</f>
        <v/>
      </c>
      <c r="F6" s="3" t="s">
        <v>173</v>
      </c>
    </row>
    <row r="7" spans="1:6" x14ac:dyDescent="0.3">
      <c r="A7" s="3" t="s">
        <v>138</v>
      </c>
      <c r="B7" s="3" t="s">
        <v>178</v>
      </c>
      <c r="C7" s="3" t="s">
        <v>179</v>
      </c>
      <c r="D7" s="4">
        <f>COUNTIF(G30:G79,"pending")</f>
        <v>12</v>
      </c>
      <c r="E7" s="3">
        <f>COUNTIF(G5:G54,"Pending")</f>
        <v>4</v>
      </c>
      <c r="F7" s="3" t="s">
        <v>173</v>
      </c>
    </row>
    <row r="8" spans="1:6" x14ac:dyDescent="0.3">
      <c r="A8" s="3" t="s">
        <v>138</v>
      </c>
      <c r="B8" s="3" t="s">
        <v>180</v>
      </c>
      <c r="C8" s="3" t="s">
        <v>181</v>
      </c>
      <c r="D8" s="4">
        <f>COUNTIF(F30:F79,"&gt;40000")</f>
        <v>17</v>
      </c>
      <c r="E8" s="3">
        <f>COUNTIF(F5:F54,"&gt;40000")</f>
        <v>12</v>
      </c>
      <c r="F8" s="3" t="s">
        <v>173</v>
      </c>
    </row>
    <row r="9" spans="1:6" x14ac:dyDescent="0.3">
      <c r="A9" s="3" t="s">
        <v>141</v>
      </c>
      <c r="B9" s="3" t="s">
        <v>182</v>
      </c>
      <c r="C9" s="3" t="s">
        <v>175</v>
      </c>
      <c r="D9" s="22">
        <f>AVERAGEIF(D30:D79,"south",F30:F79)</f>
        <v>34500</v>
      </c>
      <c r="E9" s="3">
        <f>AVERAGEIF(D5:D54,"South",F5:F54)</f>
        <v>35700</v>
      </c>
      <c r="F9" s="3" t="s">
        <v>183</v>
      </c>
    </row>
    <row r="10" spans="1:6" x14ac:dyDescent="0.3">
      <c r="A10" s="3" t="s">
        <v>141</v>
      </c>
      <c r="B10" s="3" t="s">
        <v>184</v>
      </c>
      <c r="C10" s="3" t="s">
        <v>177</v>
      </c>
      <c r="D10" s="9">
        <f>AVERAGEIF(E30:E79,"electronics",F30:F79)</f>
        <v>30100</v>
      </c>
      <c r="E10" s="3" t="str">
        <f ca="1">AVERAGEIF(E5:E54,"Electronics",F5:F54)</f>
        <v/>
      </c>
      <c r="F10" s="3" t="s">
        <v>183</v>
      </c>
    </row>
    <row r="11" spans="1:6" x14ac:dyDescent="0.3">
      <c r="A11" s="3" t="s">
        <v>144</v>
      </c>
      <c r="B11" s="3" t="s">
        <v>185</v>
      </c>
      <c r="C11" s="3" t="s">
        <v>186</v>
      </c>
      <c r="D11" s="9">
        <f>SUMIFS(F30:F79,D30:D79,"South",G30:G79,"Pending")</f>
        <v>168500</v>
      </c>
      <c r="E11" s="3">
        <f>SUMIFS(F5:F54,D5:D54,"South",G5:G54,"Pending")</f>
        <v>36500</v>
      </c>
      <c r="F11" s="3" t="s">
        <v>183</v>
      </c>
    </row>
    <row r="12" spans="1:6" x14ac:dyDescent="0.3">
      <c r="A12" s="3" t="s">
        <v>144</v>
      </c>
      <c r="B12" s="3" t="s">
        <v>187</v>
      </c>
      <c r="C12" s="3" t="s">
        <v>188</v>
      </c>
      <c r="D12" s="9">
        <f>SUMIFS(F30:F79,D30:D79,D33,E30:E79,E69)</f>
        <v>143000</v>
      </c>
      <c r="E12" s="3">
        <f>SUMIFS(F5:F54,D5:D54,"West",E5:E54,"Electronics")</f>
        <v>128000</v>
      </c>
      <c r="F12" s="3" t="s">
        <v>183</v>
      </c>
    </row>
    <row r="13" spans="1:6" x14ac:dyDescent="0.3">
      <c r="A13" s="3" t="s">
        <v>147</v>
      </c>
      <c r="B13" s="3" t="s">
        <v>189</v>
      </c>
      <c r="C13" s="3" t="s">
        <v>190</v>
      </c>
      <c r="D13" s="4">
        <f>COUNTIFS(H30:H79,"&gt;6",D30:D79,D60)</f>
        <v>7</v>
      </c>
      <c r="E13" s="3">
        <f>COUNTIFS(D5:D54,"West",H5:H54,"&gt;6")</f>
        <v>2</v>
      </c>
      <c r="F13" s="3" t="s">
        <v>183</v>
      </c>
    </row>
    <row r="14" spans="1:6" x14ac:dyDescent="0.3">
      <c r="A14" s="3" t="s">
        <v>147</v>
      </c>
      <c r="B14" s="3" t="s">
        <v>191</v>
      </c>
      <c r="C14" s="3" t="s">
        <v>192</v>
      </c>
      <c r="D14" s="4" t="s">
        <v>265</v>
      </c>
      <c r="E14" s="3">
        <f>COUNTIFS(G5:G54,"Pending",J5:J54,"&lt;=2")</f>
        <v>1</v>
      </c>
      <c r="F14" s="3" t="s">
        <v>183</v>
      </c>
    </row>
    <row r="15" spans="1:6" x14ac:dyDescent="0.3">
      <c r="A15" s="3" t="s">
        <v>150</v>
      </c>
      <c r="B15" s="3" t="s">
        <v>193</v>
      </c>
      <c r="C15" s="3" t="s">
        <v>177</v>
      </c>
      <c r="D15" s="9"/>
      <c r="E15" s="3" t="e">
        <f ca="1">_xludf.MAXIFS(F5:F54,E5:E54,"Electronics")</f>
        <v>#NAME?</v>
      </c>
      <c r="F15" s="3" t="s">
        <v>183</v>
      </c>
    </row>
    <row r="16" spans="1:6" x14ac:dyDescent="0.3">
      <c r="A16" s="3" t="s">
        <v>150</v>
      </c>
      <c r="B16" s="3" t="s">
        <v>194</v>
      </c>
      <c r="C16" s="3" t="s">
        <v>175</v>
      </c>
      <c r="D16" s="9"/>
      <c r="E16" s="3" t="e">
        <f ca="1">_xludf.MAXIFS(F5:F54,D5:D54,"South")</f>
        <v>#NAME?</v>
      </c>
      <c r="F16" s="3" t="s">
        <v>183</v>
      </c>
    </row>
    <row r="17" spans="1:18" x14ac:dyDescent="0.3">
      <c r="A17" s="3" t="s">
        <v>153</v>
      </c>
      <c r="B17" s="3" t="s">
        <v>195</v>
      </c>
      <c r="C17" s="3" t="s">
        <v>196</v>
      </c>
      <c r="D17" s="9"/>
      <c r="E17" s="3" t="e">
        <f ca="1">_xludf.MINIFS(F5:F54,D5:D54,"East")</f>
        <v>#NAME?</v>
      </c>
      <c r="F17" s="3" t="s">
        <v>183</v>
      </c>
    </row>
    <row r="18" spans="1:18" x14ac:dyDescent="0.3">
      <c r="A18" s="3" t="s">
        <v>153</v>
      </c>
      <c r="B18" s="3" t="s">
        <v>197</v>
      </c>
      <c r="C18" s="3" t="s">
        <v>198</v>
      </c>
      <c r="D18" s="9"/>
      <c r="E18" s="3" t="e">
        <f ca="1">_xludf.MINIFS(F5:F54,E5:E54,"Furniture")</f>
        <v>#NAME?</v>
      </c>
      <c r="F18" s="3" t="s">
        <v>183</v>
      </c>
    </row>
    <row r="29" spans="1:18" ht="28.8" x14ac:dyDescent="0.3">
      <c r="A29" s="6" t="s">
        <v>2</v>
      </c>
      <c r="B29" s="6" t="s">
        <v>3</v>
      </c>
      <c r="C29" s="6" t="s">
        <v>4</v>
      </c>
      <c r="D29" s="6" t="s">
        <v>5</v>
      </c>
      <c r="E29" s="6" t="s">
        <v>6</v>
      </c>
      <c r="F29" s="6" t="s">
        <v>7</v>
      </c>
      <c r="G29" s="6" t="s">
        <v>8</v>
      </c>
      <c r="H29" s="6" t="s">
        <v>9</v>
      </c>
      <c r="I29" s="6" t="s">
        <v>10</v>
      </c>
      <c r="J29" s="6" t="s">
        <v>11</v>
      </c>
      <c r="K29" s="6" t="s">
        <v>12</v>
      </c>
      <c r="L29" s="6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6" t="s">
        <v>19</v>
      </c>
    </row>
    <row r="30" spans="1:18" x14ac:dyDescent="0.3">
      <c r="A30" s="7" t="s">
        <v>20</v>
      </c>
      <c r="B30" s="7" t="s">
        <v>21</v>
      </c>
      <c r="C30" s="7">
        <v>21</v>
      </c>
      <c r="D30" s="7" t="s">
        <v>22</v>
      </c>
      <c r="E30" s="7" t="s">
        <v>23</v>
      </c>
      <c r="F30" s="8">
        <v>45000</v>
      </c>
      <c r="G30" s="7" t="s">
        <v>24</v>
      </c>
      <c r="H30" s="7">
        <v>2</v>
      </c>
      <c r="I30" s="7" t="s">
        <v>25</v>
      </c>
      <c r="J30" s="7">
        <v>4</v>
      </c>
      <c r="K30" s="5" t="str">
        <f>IF(Practice_Data!F31&gt;=30000,"High Sales","Normal Sales")</f>
        <v>High Sales</v>
      </c>
      <c r="L30" s="5" t="str">
        <f>IF(AND(F30&gt;=40000,G30="Pending"),"Urgent","Normal")</f>
        <v>Normal</v>
      </c>
      <c r="M30" s="5" t="str">
        <f t="shared" ref="M30:M58" si="0">IF(OR(D30="South",D30="west"),"Priority Region","Regular Region")</f>
        <v>Regular Region</v>
      </c>
      <c r="N30" s="5" t="str">
        <f>IF(NOT(G30="Paid"),"Payment Completed","Payment Pending")</f>
        <v>Payment Pending</v>
      </c>
      <c r="O30" s="5" t="str" cm="1">
        <f t="array" ref="O30">_xlfn.SWITCH(TRUE,F30&gt;=50000,"Very High",F30&gt;=30000,"High",F30&gt;=15000,"Medium",F30&lt;15000,"Low")</f>
        <v>High</v>
      </c>
      <c r="P30" s="5" t="str">
        <f>IF(F30&gt;=50000,"Very High",IF(F30&gt;=30000,"High",IF(F30&gt;=15000,"Medium","Low")))</f>
        <v>High</v>
      </c>
      <c r="Q30" s="5"/>
      <c r="R30" s="5"/>
    </row>
    <row r="31" spans="1:18" x14ac:dyDescent="0.3">
      <c r="A31" s="7" t="s">
        <v>26</v>
      </c>
      <c r="B31" s="7" t="s">
        <v>27</v>
      </c>
      <c r="C31" s="7">
        <v>38</v>
      </c>
      <c r="D31" s="7" t="s">
        <v>22</v>
      </c>
      <c r="E31" s="7" t="s">
        <v>23</v>
      </c>
      <c r="F31" s="8">
        <v>16500</v>
      </c>
      <c r="G31" s="7" t="s">
        <v>24</v>
      </c>
      <c r="H31" s="7">
        <v>10</v>
      </c>
      <c r="I31" s="7" t="s">
        <v>28</v>
      </c>
      <c r="J31" s="7">
        <v>3</v>
      </c>
      <c r="K31" s="5" t="str">
        <f>IF(Practice_Data!F31&gt;=30000,"High Sales","Normal Sales")</f>
        <v>High Sales</v>
      </c>
      <c r="L31" s="5" t="str">
        <f t="shared" ref="L31:L79" si="1">IF(AND(F31&gt;=40000,G31="Pending"),"Urgent","Normal")</f>
        <v>Normal</v>
      </c>
      <c r="M31" s="5" t="str">
        <f t="shared" si="0"/>
        <v>Regular Region</v>
      </c>
      <c r="N31" s="5" t="str">
        <f t="shared" ref="N31:N79" si="2">IF(NOT(G31="Paid"),"Payment Completed","Payment Pending")</f>
        <v>Payment Pending</v>
      </c>
      <c r="O31" s="5" t="str" cm="1">
        <f t="array" ref="O31">_xlfn.SWITCH(TRUE,F31&gt;=50000,"Very High",F31&gt;=30000,"High",F31&gt;=15000,"Medium",F31&lt;15000,"Low")</f>
        <v>Medium</v>
      </c>
      <c r="P31" s="5" t="str">
        <f t="shared" ref="P31:P79" si="3">IF(F31&gt;=50000,"Very High",IF(F31&gt;=30000,"High",IF(F31&gt;=15000,"Medium","Low")))</f>
        <v>Medium</v>
      </c>
      <c r="Q31" s="5"/>
      <c r="R31" s="5"/>
    </row>
    <row r="32" spans="1:18" x14ac:dyDescent="0.3">
      <c r="A32" s="7" t="s">
        <v>29</v>
      </c>
      <c r="B32" s="7" t="s">
        <v>30</v>
      </c>
      <c r="C32" s="7">
        <v>27</v>
      </c>
      <c r="D32" s="7" t="s">
        <v>31</v>
      </c>
      <c r="E32" s="7" t="s">
        <v>32</v>
      </c>
      <c r="F32" s="8">
        <v>10500</v>
      </c>
      <c r="G32" s="7" t="s">
        <v>33</v>
      </c>
      <c r="H32" s="7">
        <v>8</v>
      </c>
      <c r="I32" s="7" t="s">
        <v>34</v>
      </c>
      <c r="J32" s="7">
        <v>1</v>
      </c>
      <c r="K32" s="5" t="str">
        <f>IF(Practice_Data!F32&gt;=30000,"High Sales","Normal Sales")</f>
        <v>Normal Sales</v>
      </c>
      <c r="L32" s="5" t="str">
        <f t="shared" si="1"/>
        <v>Normal</v>
      </c>
      <c r="M32" s="5" t="str">
        <f t="shared" si="0"/>
        <v>Regular Region</v>
      </c>
      <c r="N32" s="5" t="str">
        <f t="shared" si="2"/>
        <v>Payment Completed</v>
      </c>
      <c r="O32" s="5" t="str" cm="1">
        <f t="array" ref="O32">_xlfn.SWITCH(TRUE,F32&gt;=50000,"Very High",F32&gt;=30000,"High",F32&gt;=15000,"Medium",F32&lt;15000,"Low")</f>
        <v>Low</v>
      </c>
      <c r="P32" s="5" t="str">
        <f t="shared" si="3"/>
        <v>Low</v>
      </c>
      <c r="Q32" s="5"/>
      <c r="R32" s="5"/>
    </row>
    <row r="33" spans="1:18" x14ac:dyDescent="0.3">
      <c r="A33" s="7" t="s">
        <v>35</v>
      </c>
      <c r="B33" s="7" t="s">
        <v>36</v>
      </c>
      <c r="C33" s="7">
        <v>62</v>
      </c>
      <c r="D33" s="7" t="s">
        <v>37</v>
      </c>
      <c r="E33" s="7" t="s">
        <v>23</v>
      </c>
      <c r="F33" s="8">
        <v>8500</v>
      </c>
      <c r="G33" s="7" t="s">
        <v>24</v>
      </c>
      <c r="H33" s="7">
        <v>4</v>
      </c>
      <c r="I33" s="7" t="s">
        <v>38</v>
      </c>
      <c r="J33" s="7">
        <v>2</v>
      </c>
      <c r="K33" s="5" t="str">
        <f>IF(Practice_Data!F33&gt;=30000,"High Sales","Normal Sales")</f>
        <v>High Sales</v>
      </c>
      <c r="L33" s="5" t="str">
        <f t="shared" si="1"/>
        <v>Normal</v>
      </c>
      <c r="M33" s="5" t="str">
        <f t="shared" si="0"/>
        <v>Priority Region</v>
      </c>
      <c r="N33" s="5" t="str">
        <f t="shared" si="2"/>
        <v>Payment Pending</v>
      </c>
      <c r="O33" s="5" t="str" cm="1">
        <f t="array" ref="O33">_xlfn.SWITCH(TRUE,F33&gt;=50000,"Very High",F33&gt;=30000,"High",F33&gt;=15000,"Medium",F33&lt;15000,"Low")</f>
        <v>Low</v>
      </c>
      <c r="P33" s="5" t="str">
        <f t="shared" si="3"/>
        <v>Low</v>
      </c>
      <c r="Q33" s="5"/>
      <c r="R33" s="5"/>
    </row>
    <row r="34" spans="1:18" x14ac:dyDescent="0.3">
      <c r="A34" s="7" t="s">
        <v>39</v>
      </c>
      <c r="B34" s="7" t="s">
        <v>40</v>
      </c>
      <c r="C34" s="7">
        <v>34</v>
      </c>
      <c r="D34" s="7" t="s">
        <v>37</v>
      </c>
      <c r="E34" s="7" t="s">
        <v>41</v>
      </c>
      <c r="F34" s="8">
        <v>60000</v>
      </c>
      <c r="G34" s="7" t="s">
        <v>24</v>
      </c>
      <c r="H34" s="7">
        <v>2</v>
      </c>
      <c r="I34" s="7" t="s">
        <v>25</v>
      </c>
      <c r="J34" s="7">
        <v>3</v>
      </c>
      <c r="K34" s="5" t="str">
        <f>IF(Practice_Data!F34&gt;=30000,"High Sales","Normal Sales")</f>
        <v>Normal Sales</v>
      </c>
      <c r="L34" s="5" t="str">
        <f t="shared" si="1"/>
        <v>Normal</v>
      </c>
      <c r="M34" s="5" t="str">
        <f t="shared" si="0"/>
        <v>Priority Region</v>
      </c>
      <c r="N34" s="5" t="str">
        <f t="shared" si="2"/>
        <v>Payment Pending</v>
      </c>
      <c r="O34" s="5" t="str" cm="1">
        <f t="array" ref="O34">_xlfn.SWITCH(TRUE,F34&gt;=50000,"Very High",F34&gt;=30000,"High",F34&gt;=15000,"Medium",F34&lt;15000,"Low")</f>
        <v>Very High</v>
      </c>
      <c r="P34" s="5" t="str">
        <f t="shared" si="3"/>
        <v>Very High</v>
      </c>
      <c r="Q34" s="5"/>
      <c r="R34" s="5"/>
    </row>
    <row r="35" spans="1:18" x14ac:dyDescent="0.3">
      <c r="A35" s="7" t="s">
        <v>42</v>
      </c>
      <c r="B35" s="7" t="s">
        <v>43</v>
      </c>
      <c r="C35" s="7">
        <v>66</v>
      </c>
      <c r="D35" s="7" t="s">
        <v>37</v>
      </c>
      <c r="E35" s="7" t="s">
        <v>44</v>
      </c>
      <c r="F35" s="8">
        <v>72000</v>
      </c>
      <c r="G35" s="7" t="s">
        <v>24</v>
      </c>
      <c r="H35" s="7">
        <v>7</v>
      </c>
      <c r="I35" s="7" t="s">
        <v>25</v>
      </c>
      <c r="J35" s="7">
        <v>1</v>
      </c>
      <c r="K35" s="5" t="str">
        <f>IF(Practice_Data!F35&gt;=30000,"High Sales","Normal Sales")</f>
        <v>High Sales</v>
      </c>
      <c r="L35" s="5" t="str">
        <f t="shared" si="1"/>
        <v>Normal</v>
      </c>
      <c r="M35" s="5" t="str">
        <f t="shared" si="0"/>
        <v>Priority Region</v>
      </c>
      <c r="N35" s="5" t="str">
        <f t="shared" si="2"/>
        <v>Payment Pending</v>
      </c>
      <c r="O35" s="5" t="str" cm="1">
        <f t="array" ref="O35">_xlfn.SWITCH(TRUE,F35&gt;=50000,"Very High",F35&gt;=30000,"High",F35&gt;=15000,"Medium",F35&lt;15000,"Low")</f>
        <v>Very High</v>
      </c>
      <c r="P35" s="5" t="str">
        <f t="shared" si="3"/>
        <v>Very High</v>
      </c>
      <c r="Q35" s="5"/>
      <c r="R35" s="5"/>
    </row>
    <row r="36" spans="1:18" x14ac:dyDescent="0.3">
      <c r="A36" s="7" t="s">
        <v>45</v>
      </c>
      <c r="B36" s="7" t="s">
        <v>46</v>
      </c>
      <c r="C36" s="7">
        <v>42</v>
      </c>
      <c r="D36" s="7" t="s">
        <v>47</v>
      </c>
      <c r="E36" s="7" t="s">
        <v>41</v>
      </c>
      <c r="F36" s="8">
        <v>60000</v>
      </c>
      <c r="G36" s="7" t="s">
        <v>24</v>
      </c>
      <c r="H36" s="7">
        <v>8</v>
      </c>
      <c r="I36" s="7" t="s">
        <v>38</v>
      </c>
      <c r="J36" s="7">
        <v>3</v>
      </c>
      <c r="K36" s="5" t="str">
        <f>IF(Practice_Data!F36&gt;=30000,"High Sales","Normal Sales")</f>
        <v>Normal Sales</v>
      </c>
      <c r="L36" s="5" t="str">
        <f t="shared" si="1"/>
        <v>Normal</v>
      </c>
      <c r="M36" s="5" t="str">
        <f t="shared" si="0"/>
        <v>Regular Region</v>
      </c>
      <c r="N36" s="5" t="str">
        <f t="shared" si="2"/>
        <v>Payment Pending</v>
      </c>
      <c r="O36" s="5" t="str" cm="1">
        <f t="array" ref="O36">_xlfn.SWITCH(TRUE,F36&gt;=50000,"Very High",F36&gt;=30000,"High",F36&gt;=15000,"Medium",F36&lt;15000,"Low")</f>
        <v>Very High</v>
      </c>
      <c r="P36" s="5" t="str">
        <f t="shared" si="3"/>
        <v>Very High</v>
      </c>
      <c r="Q36" s="5"/>
      <c r="R36" s="5"/>
    </row>
    <row r="37" spans="1:18" x14ac:dyDescent="0.3">
      <c r="A37" s="7" t="s">
        <v>48</v>
      </c>
      <c r="B37" s="7" t="s">
        <v>40</v>
      </c>
      <c r="C37" s="7">
        <v>71</v>
      </c>
      <c r="D37" s="7" t="s">
        <v>49</v>
      </c>
      <c r="E37" s="7" t="s">
        <v>23</v>
      </c>
      <c r="F37" s="8">
        <v>60000</v>
      </c>
      <c r="G37" s="7" t="s">
        <v>24</v>
      </c>
      <c r="H37" s="7">
        <v>4</v>
      </c>
      <c r="I37" s="7" t="s">
        <v>25</v>
      </c>
      <c r="J37" s="7">
        <v>3</v>
      </c>
      <c r="K37" s="5" t="str">
        <f>IF(Practice_Data!F37&gt;=30000,"High Sales","Normal Sales")</f>
        <v>Normal Sales</v>
      </c>
      <c r="L37" s="5" t="str">
        <f t="shared" si="1"/>
        <v>Normal</v>
      </c>
      <c r="M37" s="5" t="str">
        <f t="shared" si="0"/>
        <v>Priority Region</v>
      </c>
      <c r="N37" s="5" t="str">
        <f t="shared" si="2"/>
        <v>Payment Pending</v>
      </c>
      <c r="O37" s="5" t="str" cm="1">
        <f t="array" ref="O37">_xlfn.SWITCH(TRUE,F37&gt;=50000,"Very High",F37&gt;=30000,"High",F37&gt;=15000,"Medium",F37&lt;15000,"Low")</f>
        <v>Very High</v>
      </c>
      <c r="P37" s="5" t="str">
        <f t="shared" si="3"/>
        <v>Very High</v>
      </c>
      <c r="Q37" s="5"/>
      <c r="R37" s="5"/>
    </row>
    <row r="38" spans="1:18" x14ac:dyDescent="0.3">
      <c r="A38" s="7" t="s">
        <v>50</v>
      </c>
      <c r="B38" s="7" t="s">
        <v>51</v>
      </c>
      <c r="C38" s="7">
        <v>42</v>
      </c>
      <c r="D38" s="7" t="s">
        <v>31</v>
      </c>
      <c r="E38" s="7" t="s">
        <v>32</v>
      </c>
      <c r="F38" s="8">
        <v>41000</v>
      </c>
      <c r="G38" s="7" t="s">
        <v>24</v>
      </c>
      <c r="H38" s="7">
        <v>7</v>
      </c>
      <c r="I38" s="7" t="s">
        <v>25</v>
      </c>
      <c r="J38" s="7">
        <v>1</v>
      </c>
      <c r="K38" s="5" t="str">
        <f>IF(Practice_Data!F38&gt;=30000,"High Sales","Normal Sales")</f>
        <v>Normal Sales</v>
      </c>
      <c r="L38" s="5" t="str">
        <f t="shared" si="1"/>
        <v>Normal</v>
      </c>
      <c r="M38" s="5" t="str">
        <f t="shared" si="0"/>
        <v>Regular Region</v>
      </c>
      <c r="N38" s="5" t="str">
        <f t="shared" si="2"/>
        <v>Payment Pending</v>
      </c>
      <c r="O38" s="5" t="str" cm="1">
        <f t="array" ref="O38">_xlfn.SWITCH(TRUE,F38&gt;=50000,"Very High",F38&gt;=30000,"High",F38&gt;=15000,"Medium",F38&lt;15000,"Low")</f>
        <v>High</v>
      </c>
      <c r="P38" s="5" t="str">
        <f t="shared" si="3"/>
        <v>High</v>
      </c>
      <c r="Q38" s="5"/>
      <c r="R38" s="5"/>
    </row>
    <row r="39" spans="1:18" x14ac:dyDescent="0.3">
      <c r="A39" s="7" t="s">
        <v>52</v>
      </c>
      <c r="B39" s="7" t="s">
        <v>46</v>
      </c>
      <c r="C39" s="7">
        <v>24</v>
      </c>
      <c r="D39" s="7" t="s">
        <v>22</v>
      </c>
      <c r="E39" s="7" t="s">
        <v>23</v>
      </c>
      <c r="F39" s="8">
        <v>36500</v>
      </c>
      <c r="G39" s="7" t="s">
        <v>33</v>
      </c>
      <c r="H39" s="7">
        <v>8</v>
      </c>
      <c r="I39" s="7" t="s">
        <v>38</v>
      </c>
      <c r="J39" s="7">
        <v>5</v>
      </c>
      <c r="K39" s="5" t="str">
        <f>IF(Practice_Data!F39&gt;=30000,"High Sales","Normal Sales")</f>
        <v>Normal Sales</v>
      </c>
      <c r="L39" s="5" t="str">
        <f t="shared" si="1"/>
        <v>Normal</v>
      </c>
      <c r="M39" s="5" t="str">
        <f t="shared" si="0"/>
        <v>Regular Region</v>
      </c>
      <c r="N39" s="5" t="str">
        <f t="shared" si="2"/>
        <v>Payment Completed</v>
      </c>
      <c r="O39" s="5" t="str" cm="1">
        <f t="array" ref="O39">_xlfn.SWITCH(TRUE,F39&gt;=50000,"Very High",F39&gt;=30000,"High",F39&gt;=15000,"Medium",F39&lt;15000,"Low")</f>
        <v>High</v>
      </c>
      <c r="P39" s="5" t="str">
        <f t="shared" si="3"/>
        <v>High</v>
      </c>
      <c r="Q39" s="5"/>
      <c r="R39" s="5"/>
    </row>
    <row r="40" spans="1:18" x14ac:dyDescent="0.3">
      <c r="A40" s="7" t="s">
        <v>53</v>
      </c>
      <c r="B40" s="7" t="s">
        <v>21</v>
      </c>
      <c r="C40" s="7">
        <v>59</v>
      </c>
      <c r="D40" s="7" t="s">
        <v>22</v>
      </c>
      <c r="E40" s="7" t="s">
        <v>32</v>
      </c>
      <c r="F40" s="8">
        <v>22000</v>
      </c>
      <c r="G40" s="7" t="s">
        <v>24</v>
      </c>
      <c r="H40" s="7">
        <v>4</v>
      </c>
      <c r="I40" s="7" t="s">
        <v>36</v>
      </c>
      <c r="J40" s="7">
        <v>2</v>
      </c>
      <c r="K40" s="5" t="str">
        <f>IF(Practice_Data!F40&gt;=30000,"High Sales","Normal Sales")</f>
        <v>Normal Sales</v>
      </c>
      <c r="L40" s="5" t="str">
        <f t="shared" si="1"/>
        <v>Normal</v>
      </c>
      <c r="M40" s="5" t="str">
        <f t="shared" si="0"/>
        <v>Regular Region</v>
      </c>
      <c r="N40" s="5" t="str">
        <f t="shared" si="2"/>
        <v>Payment Pending</v>
      </c>
      <c r="O40" s="5" t="str" cm="1">
        <f t="array" ref="O40">_xlfn.SWITCH(TRUE,F40&gt;=50000,"Very High",F40&gt;=30000,"High",F40&gt;=15000,"Medium",F40&lt;15000,"Low")</f>
        <v>Medium</v>
      </c>
      <c r="P40" s="5" t="str">
        <f t="shared" si="3"/>
        <v>Medium</v>
      </c>
      <c r="Q40" s="5"/>
      <c r="R40" s="5"/>
    </row>
    <row r="41" spans="1:18" x14ac:dyDescent="0.3">
      <c r="A41" s="7" t="s">
        <v>54</v>
      </c>
      <c r="B41" s="7" t="s">
        <v>55</v>
      </c>
      <c r="C41" s="7">
        <v>42</v>
      </c>
      <c r="D41" s="7" t="s">
        <v>37</v>
      </c>
      <c r="E41" s="7" t="s">
        <v>23</v>
      </c>
      <c r="F41" s="8">
        <v>6500</v>
      </c>
      <c r="G41" s="7" t="s">
        <v>24</v>
      </c>
      <c r="H41" s="7">
        <v>5</v>
      </c>
      <c r="I41" s="7" t="s">
        <v>34</v>
      </c>
      <c r="J41" s="7">
        <v>1</v>
      </c>
      <c r="K41" s="5" t="str">
        <f>IF(Practice_Data!F41&gt;=30000,"High Sales","Normal Sales")</f>
        <v>Normal Sales</v>
      </c>
      <c r="L41" s="5" t="str">
        <f t="shared" si="1"/>
        <v>Normal</v>
      </c>
      <c r="M41" s="5" t="str">
        <f t="shared" si="0"/>
        <v>Priority Region</v>
      </c>
      <c r="N41" s="5" t="str">
        <f t="shared" si="2"/>
        <v>Payment Pending</v>
      </c>
      <c r="O41" s="5" t="str" cm="1">
        <f t="array" ref="O41">_xlfn.SWITCH(TRUE,F41&gt;=50000,"Very High",F41&gt;=30000,"High",F41&gt;=15000,"Medium",F41&lt;15000,"Low")</f>
        <v>Low</v>
      </c>
      <c r="P41" s="5" t="str">
        <f t="shared" si="3"/>
        <v>Low</v>
      </c>
      <c r="Q41" s="5"/>
      <c r="R41" s="5"/>
    </row>
    <row r="42" spans="1:18" x14ac:dyDescent="0.3">
      <c r="A42" s="7" t="s">
        <v>56</v>
      </c>
      <c r="B42" s="7" t="s">
        <v>57</v>
      </c>
      <c r="C42" s="7">
        <v>59</v>
      </c>
      <c r="D42" s="7" t="s">
        <v>22</v>
      </c>
      <c r="E42" s="7" t="s">
        <v>32</v>
      </c>
      <c r="F42" s="8">
        <v>45000</v>
      </c>
      <c r="G42" s="7" t="s">
        <v>24</v>
      </c>
      <c r="H42" s="7">
        <v>3</v>
      </c>
      <c r="I42" s="7" t="s">
        <v>38</v>
      </c>
      <c r="J42" s="7">
        <v>5</v>
      </c>
      <c r="K42" s="5" t="str">
        <f>IF(Practice_Data!F42&gt;=30000,"High Sales","Normal Sales")</f>
        <v>High Sales</v>
      </c>
      <c r="L42" s="5" t="str">
        <f t="shared" si="1"/>
        <v>Normal</v>
      </c>
      <c r="M42" s="5" t="str">
        <f t="shared" si="0"/>
        <v>Regular Region</v>
      </c>
      <c r="N42" s="5" t="str">
        <f t="shared" si="2"/>
        <v>Payment Pending</v>
      </c>
      <c r="O42" s="5" t="str" cm="1">
        <f t="array" ref="O42">_xlfn.SWITCH(TRUE,F42&gt;=50000,"Very High",F42&gt;=30000,"High",F42&gt;=15000,"Medium",F42&lt;15000,"Low")</f>
        <v>High</v>
      </c>
      <c r="P42" s="5" t="str">
        <f t="shared" si="3"/>
        <v>High</v>
      </c>
      <c r="Q42" s="5"/>
      <c r="R42" s="5"/>
    </row>
    <row r="43" spans="1:18" x14ac:dyDescent="0.3">
      <c r="A43" s="7" t="s">
        <v>58</v>
      </c>
      <c r="B43" s="7" t="s">
        <v>40</v>
      </c>
      <c r="C43" s="7">
        <v>24</v>
      </c>
      <c r="D43" s="7" t="s">
        <v>37</v>
      </c>
      <c r="E43" s="7" t="s">
        <v>23</v>
      </c>
      <c r="F43" s="8">
        <v>41000</v>
      </c>
      <c r="G43" s="7" t="s">
        <v>24</v>
      </c>
      <c r="H43" s="7">
        <v>8</v>
      </c>
      <c r="I43" s="7" t="s">
        <v>34</v>
      </c>
      <c r="J43" s="7">
        <v>1</v>
      </c>
      <c r="K43" s="5" t="str">
        <f>IF(Practice_Data!F43&gt;=30000,"High Sales","Normal Sales")</f>
        <v>Normal Sales</v>
      </c>
      <c r="L43" s="5" t="str">
        <f t="shared" si="1"/>
        <v>Normal</v>
      </c>
      <c r="M43" s="5" t="str">
        <f t="shared" si="0"/>
        <v>Priority Region</v>
      </c>
      <c r="N43" s="5" t="str">
        <f t="shared" si="2"/>
        <v>Payment Pending</v>
      </c>
      <c r="O43" s="5" t="str" cm="1">
        <f t="array" ref="O43">_xlfn.SWITCH(TRUE,F43&gt;=50000,"Very High",F43&gt;=30000,"High",F43&gt;=15000,"Medium",F43&lt;15000,"Low")</f>
        <v>High</v>
      </c>
      <c r="P43" s="5" t="str">
        <f t="shared" si="3"/>
        <v>High</v>
      </c>
      <c r="Q43" s="5"/>
      <c r="R43" s="5"/>
    </row>
    <row r="44" spans="1:18" x14ac:dyDescent="0.3">
      <c r="A44" s="7" t="s">
        <v>59</v>
      </c>
      <c r="B44" s="7" t="s">
        <v>28</v>
      </c>
      <c r="C44" s="7">
        <v>46</v>
      </c>
      <c r="D44" s="7" t="s">
        <v>31</v>
      </c>
      <c r="E44" s="7" t="s">
        <v>41</v>
      </c>
      <c r="F44" s="8">
        <v>32000</v>
      </c>
      <c r="G44" s="7" t="s">
        <v>24</v>
      </c>
      <c r="H44" s="7">
        <v>2</v>
      </c>
      <c r="I44" s="7" t="s">
        <v>36</v>
      </c>
      <c r="J44" s="7">
        <v>2</v>
      </c>
      <c r="K44" s="5" t="str">
        <f>IF(Practice_Data!F44&gt;=30000,"High Sales","Normal Sales")</f>
        <v>Normal Sales</v>
      </c>
      <c r="L44" s="5" t="str">
        <f t="shared" si="1"/>
        <v>Normal</v>
      </c>
      <c r="M44" s="5" t="str">
        <f t="shared" si="0"/>
        <v>Regular Region</v>
      </c>
      <c r="N44" s="5" t="str">
        <f t="shared" si="2"/>
        <v>Payment Pending</v>
      </c>
      <c r="O44" s="5" t="str" cm="1">
        <f t="array" ref="O44">_xlfn.SWITCH(TRUE,F44&gt;=50000,"Very High",F44&gt;=30000,"High",F44&gt;=15000,"Medium",F44&lt;15000,"Low")</f>
        <v>High</v>
      </c>
      <c r="P44" s="5" t="str">
        <f t="shared" si="3"/>
        <v>High</v>
      </c>
      <c r="Q44" s="5"/>
      <c r="R44" s="5"/>
    </row>
    <row r="45" spans="1:18" x14ac:dyDescent="0.3">
      <c r="A45" s="7" t="s">
        <v>60</v>
      </c>
      <c r="B45" s="7" t="s">
        <v>43</v>
      </c>
      <c r="C45" s="7">
        <v>24</v>
      </c>
      <c r="D45" s="7" t="s">
        <v>49</v>
      </c>
      <c r="E45" s="7" t="s">
        <v>61</v>
      </c>
      <c r="F45" s="8">
        <v>22000</v>
      </c>
      <c r="G45" s="7" t="s">
        <v>33</v>
      </c>
      <c r="H45" s="7">
        <v>2</v>
      </c>
      <c r="I45" s="7" t="s">
        <v>25</v>
      </c>
      <c r="J45" s="7">
        <v>5</v>
      </c>
      <c r="K45" s="5" t="str">
        <f>IF(Practice_Data!F45&gt;=30000,"High Sales","Normal Sales")</f>
        <v>Normal Sales</v>
      </c>
      <c r="L45" s="5" t="str">
        <f t="shared" si="1"/>
        <v>Normal</v>
      </c>
      <c r="M45" s="5" t="str">
        <f t="shared" si="0"/>
        <v>Priority Region</v>
      </c>
      <c r="N45" s="5" t="str">
        <f t="shared" si="2"/>
        <v>Payment Completed</v>
      </c>
      <c r="O45" s="5" t="str" cm="1">
        <f t="array" ref="O45">_xlfn.SWITCH(TRUE,F45&gt;=50000,"Very High",F45&gt;=30000,"High",F45&gt;=15000,"Medium",F45&lt;15000,"Low")</f>
        <v>Medium</v>
      </c>
      <c r="P45" s="5" t="str">
        <f t="shared" si="3"/>
        <v>Medium</v>
      </c>
      <c r="Q45" s="5"/>
      <c r="R45" s="5"/>
    </row>
    <row r="46" spans="1:18" x14ac:dyDescent="0.3">
      <c r="A46" s="7" t="s">
        <v>62</v>
      </c>
      <c r="B46" s="7" t="s">
        <v>46</v>
      </c>
      <c r="C46" s="7">
        <v>34</v>
      </c>
      <c r="D46" s="7" t="s">
        <v>49</v>
      </c>
      <c r="E46" s="7" t="s">
        <v>61</v>
      </c>
      <c r="F46" s="8">
        <v>41000</v>
      </c>
      <c r="G46" s="7" t="s">
        <v>24</v>
      </c>
      <c r="H46" s="7">
        <v>10</v>
      </c>
      <c r="I46" s="7" t="s">
        <v>38</v>
      </c>
      <c r="J46" s="7">
        <v>3</v>
      </c>
      <c r="K46" s="5" t="str">
        <f>IF(Practice_Data!F46&gt;=30000,"High Sales","Normal Sales")</f>
        <v>Normal Sales</v>
      </c>
      <c r="L46" s="5" t="str">
        <f t="shared" si="1"/>
        <v>Normal</v>
      </c>
      <c r="M46" s="5" t="str">
        <f t="shared" si="0"/>
        <v>Priority Region</v>
      </c>
      <c r="N46" s="5" t="str">
        <f t="shared" si="2"/>
        <v>Payment Pending</v>
      </c>
      <c r="O46" s="5" t="str" cm="1">
        <f t="array" ref="O46">_xlfn.SWITCH(TRUE,F46&gt;=50000,"Very High",F46&gt;=30000,"High",F46&gt;=15000,"Medium",F46&lt;15000,"Low")</f>
        <v>High</v>
      </c>
      <c r="P46" s="5" t="str">
        <f t="shared" si="3"/>
        <v>High</v>
      </c>
      <c r="Q46" s="5"/>
      <c r="R46" s="5"/>
    </row>
    <row r="47" spans="1:18" x14ac:dyDescent="0.3">
      <c r="A47" s="7" t="s">
        <v>63</v>
      </c>
      <c r="B47" s="7" t="s">
        <v>64</v>
      </c>
      <c r="C47" s="7">
        <v>59</v>
      </c>
      <c r="D47" s="7" t="s">
        <v>49</v>
      </c>
      <c r="E47" s="7" t="s">
        <v>41</v>
      </c>
      <c r="F47" s="8">
        <v>41000</v>
      </c>
      <c r="G47" s="7" t="s">
        <v>24</v>
      </c>
      <c r="H47" s="7">
        <v>4</v>
      </c>
      <c r="I47" s="7" t="s">
        <v>38</v>
      </c>
      <c r="J47" s="7">
        <v>4</v>
      </c>
      <c r="K47" s="5" t="str">
        <f>IF(Practice_Data!F47&gt;=30000,"High Sales","Normal Sales")</f>
        <v>Normal Sales</v>
      </c>
      <c r="L47" s="5" t="str">
        <f t="shared" si="1"/>
        <v>Normal</v>
      </c>
      <c r="M47" s="5" t="str">
        <f t="shared" si="0"/>
        <v>Priority Region</v>
      </c>
      <c r="N47" s="5" t="str">
        <f t="shared" si="2"/>
        <v>Payment Pending</v>
      </c>
      <c r="O47" s="5" t="str" cm="1">
        <f t="array" ref="O47">_xlfn.SWITCH(TRUE,F47&gt;=50000,"Very High",F47&gt;=30000,"High",F47&gt;=15000,"Medium",F47&lt;15000,"Low")</f>
        <v>High</v>
      </c>
      <c r="P47" s="5" t="str">
        <f t="shared" si="3"/>
        <v>High</v>
      </c>
      <c r="Q47" s="5"/>
      <c r="R47" s="5"/>
    </row>
    <row r="48" spans="1:18" x14ac:dyDescent="0.3">
      <c r="A48" s="7" t="s">
        <v>65</v>
      </c>
      <c r="B48" s="7" t="s">
        <v>46</v>
      </c>
      <c r="C48" s="7">
        <v>38</v>
      </c>
      <c r="D48" s="7" t="s">
        <v>37</v>
      </c>
      <c r="E48" s="7" t="s">
        <v>32</v>
      </c>
      <c r="F48" s="8">
        <v>29500</v>
      </c>
      <c r="G48" s="7" t="s">
        <v>24</v>
      </c>
      <c r="H48" s="7">
        <v>2</v>
      </c>
      <c r="I48" s="7" t="s">
        <v>34</v>
      </c>
      <c r="J48" s="7">
        <v>2</v>
      </c>
      <c r="K48" s="5" t="str">
        <f>IF(Practice_Data!F48&gt;=30000,"High Sales","Normal Sales")</f>
        <v>High Sales</v>
      </c>
      <c r="L48" s="5" t="str">
        <f t="shared" si="1"/>
        <v>Normal</v>
      </c>
      <c r="M48" s="5" t="str">
        <f t="shared" si="0"/>
        <v>Priority Region</v>
      </c>
      <c r="N48" s="5" t="str">
        <f t="shared" si="2"/>
        <v>Payment Pending</v>
      </c>
      <c r="O48" s="5" t="str" cm="1">
        <f t="array" ref="O48">_xlfn.SWITCH(TRUE,F48&gt;=50000,"Very High",F48&gt;=30000,"High",F48&gt;=15000,"Medium",F48&lt;15000,"Low")</f>
        <v>Medium</v>
      </c>
      <c r="P48" s="5" t="str">
        <f t="shared" si="3"/>
        <v>Medium</v>
      </c>
      <c r="Q48" s="5"/>
      <c r="R48" s="5"/>
    </row>
    <row r="49" spans="1:18" x14ac:dyDescent="0.3">
      <c r="A49" s="7" t="s">
        <v>66</v>
      </c>
      <c r="B49" s="7" t="s">
        <v>67</v>
      </c>
      <c r="C49" s="7">
        <v>71</v>
      </c>
      <c r="D49" s="7" t="s">
        <v>47</v>
      </c>
      <c r="E49" s="7" t="s">
        <v>41</v>
      </c>
      <c r="F49" s="8">
        <v>14500</v>
      </c>
      <c r="G49" s="7" t="s">
        <v>24</v>
      </c>
      <c r="H49" s="7">
        <v>3</v>
      </c>
      <c r="I49" s="7" t="s">
        <v>34</v>
      </c>
      <c r="J49" s="7">
        <v>5</v>
      </c>
      <c r="K49" s="5" t="str">
        <f>IF(Practice_Data!F49&gt;=30000,"High Sales","Normal Sales")</f>
        <v>High Sales</v>
      </c>
      <c r="L49" s="5" t="str">
        <f t="shared" si="1"/>
        <v>Normal</v>
      </c>
      <c r="M49" s="5" t="str">
        <f t="shared" si="0"/>
        <v>Regular Region</v>
      </c>
      <c r="N49" s="5" t="str">
        <f t="shared" si="2"/>
        <v>Payment Pending</v>
      </c>
      <c r="O49" s="5" t="str" cm="1">
        <f t="array" ref="O49">_xlfn.SWITCH(TRUE,F49&gt;=50000,"Very High",F49&gt;=30000,"High",F49&gt;=15000,"Medium",F49&lt;15000,"Low")</f>
        <v>Low</v>
      </c>
      <c r="P49" s="5" t="str">
        <f t="shared" si="3"/>
        <v>Low</v>
      </c>
      <c r="Q49" s="5"/>
      <c r="R49" s="5"/>
    </row>
    <row r="50" spans="1:18" x14ac:dyDescent="0.3">
      <c r="A50" s="7" t="s">
        <v>68</v>
      </c>
      <c r="B50" s="7" t="s">
        <v>51</v>
      </c>
      <c r="C50" s="7">
        <v>30</v>
      </c>
      <c r="D50" s="7" t="s">
        <v>47</v>
      </c>
      <c r="E50" s="7" t="s">
        <v>61</v>
      </c>
      <c r="F50" s="8">
        <v>10500</v>
      </c>
      <c r="G50" s="7" t="s">
        <v>24</v>
      </c>
      <c r="H50" s="7">
        <v>10</v>
      </c>
      <c r="I50" s="7" t="s">
        <v>34</v>
      </c>
      <c r="J50" s="7">
        <v>2</v>
      </c>
      <c r="K50" s="5" t="str">
        <f>IF(Practice_Data!F50&gt;=30000,"High Sales","Normal Sales")</f>
        <v>Normal Sales</v>
      </c>
      <c r="L50" s="5" t="str">
        <f t="shared" si="1"/>
        <v>Normal</v>
      </c>
      <c r="M50" s="5" t="str">
        <f t="shared" si="0"/>
        <v>Regular Region</v>
      </c>
      <c r="N50" s="5" t="str">
        <f t="shared" si="2"/>
        <v>Payment Pending</v>
      </c>
      <c r="O50" s="5" t="str" cm="1">
        <f t="array" ref="O50">_xlfn.SWITCH(TRUE,F50&gt;=50000,"Very High",F50&gt;=30000,"High",F50&gt;=15000,"Medium",F50&lt;15000,"Low")</f>
        <v>Low</v>
      </c>
      <c r="P50" s="5" t="str">
        <f t="shared" si="3"/>
        <v>Low</v>
      </c>
      <c r="Q50" s="5"/>
      <c r="R50" s="5"/>
    </row>
    <row r="51" spans="1:18" x14ac:dyDescent="0.3">
      <c r="A51" s="7" t="s">
        <v>69</v>
      </c>
      <c r="B51" s="7" t="s">
        <v>51</v>
      </c>
      <c r="C51" s="7">
        <v>34</v>
      </c>
      <c r="D51" s="7" t="s">
        <v>37</v>
      </c>
      <c r="E51" s="7" t="s">
        <v>23</v>
      </c>
      <c r="F51" s="8">
        <v>72000</v>
      </c>
      <c r="G51" s="7" t="s">
        <v>24</v>
      </c>
      <c r="H51" s="7">
        <v>5</v>
      </c>
      <c r="I51" s="7" t="s">
        <v>38</v>
      </c>
      <c r="J51" s="7">
        <v>5</v>
      </c>
      <c r="K51" s="5" t="str">
        <f>IF(Practice_Data!F51&gt;=30000,"High Sales","Normal Sales")</f>
        <v>Normal Sales</v>
      </c>
      <c r="L51" s="5" t="str">
        <f t="shared" si="1"/>
        <v>Normal</v>
      </c>
      <c r="M51" s="5" t="str">
        <f t="shared" si="0"/>
        <v>Priority Region</v>
      </c>
      <c r="N51" s="5" t="str">
        <f t="shared" si="2"/>
        <v>Payment Pending</v>
      </c>
      <c r="O51" s="5" t="str" cm="1">
        <f t="array" ref="O51">_xlfn.SWITCH(TRUE,F51&gt;=50000,"Very High",F51&gt;=30000,"High",F51&gt;=15000,"Medium",F51&lt;15000,"Low")</f>
        <v>Very High</v>
      </c>
      <c r="P51" s="5" t="str">
        <f t="shared" si="3"/>
        <v>Very High</v>
      </c>
      <c r="Q51" s="5"/>
      <c r="R51" s="5"/>
    </row>
    <row r="52" spans="1:18" x14ac:dyDescent="0.3">
      <c r="A52" s="7" t="s">
        <v>70</v>
      </c>
      <c r="B52" s="7" t="s">
        <v>40</v>
      </c>
      <c r="C52" s="7">
        <v>30</v>
      </c>
      <c r="D52" s="7" t="s">
        <v>22</v>
      </c>
      <c r="E52" s="7" t="s">
        <v>41</v>
      </c>
      <c r="F52" s="8">
        <v>22000</v>
      </c>
      <c r="G52" s="7" t="s">
        <v>24</v>
      </c>
      <c r="H52" s="7">
        <v>7</v>
      </c>
      <c r="I52" s="7" t="s">
        <v>25</v>
      </c>
      <c r="J52" s="7">
        <v>1</v>
      </c>
      <c r="K52" s="5" t="str">
        <f>IF(Practice_Data!F52&gt;=30000,"High Sales","Normal Sales")</f>
        <v>High Sales</v>
      </c>
      <c r="L52" s="5" t="str">
        <f t="shared" si="1"/>
        <v>Normal</v>
      </c>
      <c r="M52" s="5" t="str">
        <f t="shared" si="0"/>
        <v>Regular Region</v>
      </c>
      <c r="N52" s="5" t="str">
        <f t="shared" si="2"/>
        <v>Payment Pending</v>
      </c>
      <c r="O52" s="5" t="str" cm="1">
        <f t="array" ref="O52">_xlfn.SWITCH(TRUE,F52&gt;=50000,"Very High",F52&gt;=30000,"High",F52&gt;=15000,"Medium",F52&lt;15000,"Low")</f>
        <v>Medium</v>
      </c>
      <c r="P52" s="5" t="str">
        <f t="shared" si="3"/>
        <v>Medium</v>
      </c>
      <c r="Q52" s="5"/>
      <c r="R52" s="5"/>
    </row>
    <row r="53" spans="1:18" x14ac:dyDescent="0.3">
      <c r="A53" s="7" t="s">
        <v>71</v>
      </c>
      <c r="B53" s="7" t="s">
        <v>67</v>
      </c>
      <c r="C53" s="7">
        <v>51</v>
      </c>
      <c r="D53" s="7" t="s">
        <v>49</v>
      </c>
      <c r="E53" s="7" t="s">
        <v>41</v>
      </c>
      <c r="F53" s="8">
        <v>14500</v>
      </c>
      <c r="G53" s="7" t="s">
        <v>33</v>
      </c>
      <c r="H53" s="7">
        <v>9</v>
      </c>
      <c r="I53" s="7" t="s">
        <v>36</v>
      </c>
      <c r="J53" s="7">
        <v>4</v>
      </c>
      <c r="K53" s="5" t="str">
        <f>IF(Practice_Data!F53&gt;=30000,"High Sales","Normal Sales")</f>
        <v>Normal Sales</v>
      </c>
      <c r="L53" s="5" t="str">
        <f t="shared" si="1"/>
        <v>Normal</v>
      </c>
      <c r="M53" s="5" t="str">
        <f t="shared" si="0"/>
        <v>Priority Region</v>
      </c>
      <c r="N53" s="5" t="str">
        <f t="shared" si="2"/>
        <v>Payment Completed</v>
      </c>
      <c r="O53" s="5" t="str" cm="1">
        <f t="array" ref="O53">_xlfn.SWITCH(TRUE,F53&gt;=50000,"Very High",F53&gt;=30000,"High",F53&gt;=15000,"Medium",F53&lt;15000,"Low")</f>
        <v>Low</v>
      </c>
      <c r="P53" s="5" t="str">
        <f t="shared" si="3"/>
        <v>Low</v>
      </c>
      <c r="Q53" s="5"/>
      <c r="R53" s="5"/>
    </row>
    <row r="54" spans="1:18" x14ac:dyDescent="0.3">
      <c r="A54" s="7" t="s">
        <v>72</v>
      </c>
      <c r="B54" s="7" t="s">
        <v>73</v>
      </c>
      <c r="C54" s="7">
        <v>66</v>
      </c>
      <c r="D54" s="7" t="s">
        <v>31</v>
      </c>
      <c r="E54" s="7" t="s">
        <v>61</v>
      </c>
      <c r="F54" s="8">
        <v>60000</v>
      </c>
      <c r="G54" s="7" t="s">
        <v>24</v>
      </c>
      <c r="H54" s="7">
        <v>5</v>
      </c>
      <c r="I54" s="7" t="s">
        <v>28</v>
      </c>
      <c r="J54" s="7">
        <v>5</v>
      </c>
      <c r="K54" s="5" t="str">
        <f>IF(Practice_Data!F54&gt;=30000,"High Sales","Normal Sales")</f>
        <v>High Sales</v>
      </c>
      <c r="L54" s="5" t="str">
        <f t="shared" si="1"/>
        <v>Normal</v>
      </c>
      <c r="M54" s="5" t="str">
        <f t="shared" si="0"/>
        <v>Regular Region</v>
      </c>
      <c r="N54" s="5" t="str">
        <f t="shared" si="2"/>
        <v>Payment Pending</v>
      </c>
      <c r="O54" s="5" t="str" cm="1">
        <f t="array" ref="O54">_xlfn.SWITCH(TRUE,F54&gt;=50000,"Very High",F54&gt;=30000,"High",F54&gt;=15000,"Medium",F54&lt;15000,"Low")</f>
        <v>Very High</v>
      </c>
      <c r="P54" s="5" t="str">
        <f t="shared" si="3"/>
        <v>Very High</v>
      </c>
      <c r="Q54" s="5"/>
      <c r="R54" s="5"/>
    </row>
    <row r="55" spans="1:18" x14ac:dyDescent="0.3">
      <c r="A55" s="7" t="s">
        <v>74</v>
      </c>
      <c r="B55" s="7" t="s">
        <v>57</v>
      </c>
      <c r="C55" s="7">
        <v>55</v>
      </c>
      <c r="D55" s="7" t="s">
        <v>31</v>
      </c>
      <c r="E55" s="7" t="s">
        <v>41</v>
      </c>
      <c r="F55" s="8">
        <v>60000</v>
      </c>
      <c r="G55" s="7" t="s">
        <v>24</v>
      </c>
      <c r="H55" s="7">
        <v>3</v>
      </c>
      <c r="I55" s="7" t="s">
        <v>36</v>
      </c>
      <c r="J55" s="7">
        <v>1</v>
      </c>
      <c r="K55" s="5" t="str">
        <f>IF(Practice_Data!F55&gt;=30000,"High Sales","Normal Sales")</f>
        <v>Normal Sales</v>
      </c>
      <c r="L55" s="5" t="str">
        <f t="shared" si="1"/>
        <v>Normal</v>
      </c>
      <c r="M55" s="5" t="str">
        <f t="shared" si="0"/>
        <v>Regular Region</v>
      </c>
      <c r="N55" s="5" t="str">
        <f t="shared" si="2"/>
        <v>Payment Pending</v>
      </c>
      <c r="O55" s="5" t="str" cm="1">
        <f t="array" ref="O55">_xlfn.SWITCH(TRUE,F55&gt;=50000,"Very High",F55&gt;=30000,"High",F55&gt;=15000,"Medium",F55&lt;15000,"Low")</f>
        <v>Very High</v>
      </c>
      <c r="P55" s="5" t="str">
        <f t="shared" si="3"/>
        <v>Very High</v>
      </c>
      <c r="Q55" s="5"/>
      <c r="R55" s="5"/>
    </row>
    <row r="56" spans="1:18" x14ac:dyDescent="0.3">
      <c r="A56" s="7" t="s">
        <v>75</v>
      </c>
      <c r="B56" s="7" t="s">
        <v>36</v>
      </c>
      <c r="C56" s="7">
        <v>38</v>
      </c>
      <c r="D56" s="7" t="s">
        <v>37</v>
      </c>
      <c r="E56" s="7" t="s">
        <v>61</v>
      </c>
      <c r="F56" s="8">
        <v>36500</v>
      </c>
      <c r="G56" s="7" t="s">
        <v>24</v>
      </c>
      <c r="H56" s="7">
        <v>9</v>
      </c>
      <c r="I56" s="7" t="s">
        <v>28</v>
      </c>
      <c r="J56" s="7">
        <v>3</v>
      </c>
      <c r="K56" s="5" t="str">
        <f>IF(Practice_Data!F56&gt;=30000,"High Sales","Normal Sales")</f>
        <v>Normal Sales</v>
      </c>
      <c r="L56" s="5" t="str">
        <f t="shared" si="1"/>
        <v>Normal</v>
      </c>
      <c r="M56" s="5" t="str">
        <f t="shared" si="0"/>
        <v>Priority Region</v>
      </c>
      <c r="N56" s="5" t="str">
        <f t="shared" si="2"/>
        <v>Payment Pending</v>
      </c>
      <c r="O56" s="5" t="str" cm="1">
        <f t="array" ref="O56">_xlfn.SWITCH(TRUE,F56&gt;=50000,"Very High",F56&gt;=30000,"High",F56&gt;=15000,"Medium",F56&lt;15000,"Low")</f>
        <v>High</v>
      </c>
      <c r="P56" s="5" t="str">
        <f t="shared" si="3"/>
        <v>High</v>
      </c>
      <c r="Q56" s="5"/>
      <c r="R56" s="5"/>
    </row>
    <row r="57" spans="1:18" x14ac:dyDescent="0.3">
      <c r="A57" s="7" t="s">
        <v>76</v>
      </c>
      <c r="B57" s="7" t="s">
        <v>55</v>
      </c>
      <c r="C57" s="7">
        <v>71</v>
      </c>
      <c r="D57" s="7" t="s">
        <v>49</v>
      </c>
      <c r="E57" s="7" t="s">
        <v>32</v>
      </c>
      <c r="F57" s="8">
        <v>8500</v>
      </c>
      <c r="G57" s="7" t="s">
        <v>33</v>
      </c>
      <c r="H57" s="7">
        <v>8</v>
      </c>
      <c r="I57" s="7" t="s">
        <v>28</v>
      </c>
      <c r="J57" s="7">
        <v>5</v>
      </c>
      <c r="K57" s="5" t="str">
        <f>IF(Practice_Data!F57&gt;=30000,"High Sales","Normal Sales")</f>
        <v>Normal Sales</v>
      </c>
      <c r="L57" s="5" t="str">
        <f t="shared" si="1"/>
        <v>Normal</v>
      </c>
      <c r="M57" s="5" t="str">
        <f t="shared" si="0"/>
        <v>Priority Region</v>
      </c>
      <c r="N57" s="5" t="str">
        <f t="shared" si="2"/>
        <v>Payment Completed</v>
      </c>
      <c r="O57" s="5" t="str" cm="1">
        <f t="array" ref="O57">_xlfn.SWITCH(TRUE,F57&gt;=50000,"Very High",F57&gt;=30000,"High",F57&gt;=15000,"Medium",F57&lt;15000,"Low")</f>
        <v>Low</v>
      </c>
      <c r="P57" s="5" t="str">
        <f t="shared" si="3"/>
        <v>Low</v>
      </c>
      <c r="Q57" s="5"/>
      <c r="R57" s="5"/>
    </row>
    <row r="58" spans="1:18" x14ac:dyDescent="0.3">
      <c r="A58" s="7" t="s">
        <v>77</v>
      </c>
      <c r="B58" s="7" t="s">
        <v>73</v>
      </c>
      <c r="C58" s="7">
        <v>71</v>
      </c>
      <c r="D58" s="7" t="s">
        <v>47</v>
      </c>
      <c r="E58" s="7" t="s">
        <v>32</v>
      </c>
      <c r="F58" s="8">
        <v>36500</v>
      </c>
      <c r="G58" s="7" t="s">
        <v>24</v>
      </c>
      <c r="H58" s="7">
        <v>6</v>
      </c>
      <c r="I58" s="7" t="s">
        <v>34</v>
      </c>
      <c r="J58" s="7">
        <v>1</v>
      </c>
      <c r="K58" s="5" t="str">
        <f>IF(Practice_Data!F58&gt;=30000,"High Sales","Normal Sales")</f>
        <v>Normal Sales</v>
      </c>
      <c r="L58" s="5" t="str">
        <f t="shared" si="1"/>
        <v>Normal</v>
      </c>
      <c r="M58" s="5" t="str">
        <f t="shared" si="0"/>
        <v>Regular Region</v>
      </c>
      <c r="N58" s="5" t="str">
        <f t="shared" si="2"/>
        <v>Payment Pending</v>
      </c>
      <c r="O58" s="5" t="str" cm="1">
        <f t="array" ref="O58">_xlfn.SWITCH(TRUE,F58&gt;=50000,"Very High",F58&gt;=30000,"High",F58&gt;=15000,"Medium",F58&lt;15000,"Low")</f>
        <v>High</v>
      </c>
      <c r="P58" s="5" t="str">
        <f t="shared" si="3"/>
        <v>High</v>
      </c>
      <c r="Q58" s="5"/>
      <c r="R58" s="5"/>
    </row>
    <row r="59" spans="1:18" x14ac:dyDescent="0.3">
      <c r="A59" s="7" t="s">
        <v>78</v>
      </c>
      <c r="B59" s="7" t="s">
        <v>43</v>
      </c>
      <c r="C59" s="7">
        <v>51</v>
      </c>
      <c r="D59" s="7" t="s">
        <v>47</v>
      </c>
      <c r="E59" s="7" t="s">
        <v>61</v>
      </c>
      <c r="F59" s="8">
        <v>8500</v>
      </c>
      <c r="G59" s="7" t="s">
        <v>33</v>
      </c>
      <c r="H59" s="7">
        <v>2</v>
      </c>
      <c r="I59" s="7" t="s">
        <v>34</v>
      </c>
      <c r="J59" s="7">
        <v>5</v>
      </c>
      <c r="K59" s="5" t="str">
        <f>IF(Practice_Data!F59&gt;=30000,"High Sales","Normal Sales")</f>
        <v>Normal Sales</v>
      </c>
      <c r="L59" s="5" t="str">
        <f t="shared" si="1"/>
        <v>Normal</v>
      </c>
      <c r="M59" s="5" t="str">
        <f>IF(OR(D59="South",D59="west"),"Priority Region","Regular Region")</f>
        <v>Regular Region</v>
      </c>
      <c r="N59" s="5" t="str">
        <f t="shared" si="2"/>
        <v>Payment Completed</v>
      </c>
      <c r="O59" s="5" t="str" cm="1">
        <f t="array" ref="O59">_xlfn.SWITCH(TRUE,F59&gt;=50000,"Very High",F59&gt;=30000,"High",F59&gt;=15000,"Medium",F59&lt;15000,"Low")</f>
        <v>Low</v>
      </c>
      <c r="P59" s="5" t="str">
        <f t="shared" si="3"/>
        <v>Low</v>
      </c>
      <c r="Q59" s="5"/>
      <c r="R59" s="5"/>
    </row>
    <row r="60" spans="1:18" x14ac:dyDescent="0.3">
      <c r="A60" s="7" t="s">
        <v>79</v>
      </c>
      <c r="B60" s="7" t="s">
        <v>80</v>
      </c>
      <c r="C60" s="7">
        <v>24</v>
      </c>
      <c r="D60" s="7" t="s">
        <v>37</v>
      </c>
      <c r="E60" s="7" t="s">
        <v>41</v>
      </c>
      <c r="F60" s="8">
        <v>32000</v>
      </c>
      <c r="G60" s="7" t="s">
        <v>24</v>
      </c>
      <c r="H60" s="7">
        <v>9</v>
      </c>
      <c r="I60" s="7" t="s">
        <v>36</v>
      </c>
      <c r="J60" s="7">
        <v>3</v>
      </c>
      <c r="K60" s="5" t="str">
        <f>IF(Practice_Data!F60&gt;=30000,"High Sales","Normal Sales")</f>
        <v>Normal Sales</v>
      </c>
      <c r="L60" s="5" t="str">
        <f t="shared" si="1"/>
        <v>Normal</v>
      </c>
      <c r="M60" s="5" t="str">
        <f t="shared" ref="M60:M79" si="4">IF(OR(D60="South",D60="west"),"Priority Region","Regular Region")</f>
        <v>Priority Region</v>
      </c>
      <c r="N60" s="5" t="str">
        <f t="shared" si="2"/>
        <v>Payment Pending</v>
      </c>
      <c r="O60" s="5" t="str" cm="1">
        <f t="array" ref="O60">_xlfn.SWITCH(TRUE,F60&gt;=50000,"Very High",F60&gt;=30000,"High",F60&gt;=15000,"Medium",F60&lt;15000,"Low")</f>
        <v>High</v>
      </c>
      <c r="P60" s="5" t="str">
        <f t="shared" si="3"/>
        <v>High</v>
      </c>
      <c r="Q60" s="5"/>
      <c r="R60" s="5"/>
    </row>
    <row r="61" spans="1:18" x14ac:dyDescent="0.3">
      <c r="A61" s="7" t="s">
        <v>81</v>
      </c>
      <c r="B61" s="7" t="s">
        <v>82</v>
      </c>
      <c r="C61" s="7">
        <v>55</v>
      </c>
      <c r="D61" s="7" t="s">
        <v>47</v>
      </c>
      <c r="E61" s="7" t="s">
        <v>61</v>
      </c>
      <c r="F61" s="8">
        <v>22000</v>
      </c>
      <c r="G61" s="7" t="s">
        <v>33</v>
      </c>
      <c r="H61" s="7">
        <v>9</v>
      </c>
      <c r="I61" s="7" t="s">
        <v>34</v>
      </c>
      <c r="J61" s="7">
        <v>5</v>
      </c>
      <c r="K61" s="5" t="str">
        <f>IF(Practice_Data!F61&gt;=30000,"High Sales","Normal Sales")</f>
        <v>Normal Sales</v>
      </c>
      <c r="L61" s="5" t="str">
        <f t="shared" si="1"/>
        <v>Normal</v>
      </c>
      <c r="M61" s="5" t="str">
        <f t="shared" si="4"/>
        <v>Regular Region</v>
      </c>
      <c r="N61" s="5" t="str">
        <f t="shared" si="2"/>
        <v>Payment Completed</v>
      </c>
      <c r="O61" s="5" t="str" cm="1">
        <f t="array" ref="O61">_xlfn.SWITCH(TRUE,F61&gt;=50000,"Very High",F61&gt;=30000,"High",F61&gt;=15000,"Medium",F61&lt;15000,"Low")</f>
        <v>Medium</v>
      </c>
      <c r="P61" s="5" t="str">
        <f t="shared" si="3"/>
        <v>Medium</v>
      </c>
      <c r="Q61" s="5"/>
      <c r="R61" s="5"/>
    </row>
    <row r="62" spans="1:18" x14ac:dyDescent="0.3">
      <c r="A62" s="7" t="s">
        <v>83</v>
      </c>
      <c r="B62" s="7" t="s">
        <v>84</v>
      </c>
      <c r="C62" s="7">
        <v>38</v>
      </c>
      <c r="D62" s="7" t="s">
        <v>31</v>
      </c>
      <c r="E62" s="7" t="s">
        <v>44</v>
      </c>
      <c r="F62" s="8">
        <v>12500</v>
      </c>
      <c r="G62" s="7" t="s">
        <v>24</v>
      </c>
      <c r="H62" s="7">
        <v>9</v>
      </c>
      <c r="I62" s="7" t="s">
        <v>25</v>
      </c>
      <c r="J62" s="7">
        <v>2</v>
      </c>
      <c r="K62" s="5" t="str">
        <f>IF(Practice_Data!F62&gt;=30000,"High Sales","Normal Sales")</f>
        <v>Normal Sales</v>
      </c>
      <c r="L62" s="5" t="str">
        <f t="shared" si="1"/>
        <v>Normal</v>
      </c>
      <c r="M62" s="5" t="str">
        <f t="shared" si="4"/>
        <v>Regular Region</v>
      </c>
      <c r="N62" s="5" t="str">
        <f t="shared" si="2"/>
        <v>Payment Pending</v>
      </c>
      <c r="O62" s="5" t="str" cm="1">
        <f t="array" ref="O62">_xlfn.SWITCH(TRUE,F62&gt;=50000,"Very High",F62&gt;=30000,"High",F62&gt;=15000,"Medium",F62&lt;15000,"Low")</f>
        <v>Low</v>
      </c>
      <c r="P62" s="5" t="str">
        <f t="shared" si="3"/>
        <v>Low</v>
      </c>
      <c r="Q62" s="5"/>
      <c r="R62" s="5"/>
    </row>
    <row r="63" spans="1:18" x14ac:dyDescent="0.3">
      <c r="A63" s="7" t="s">
        <v>85</v>
      </c>
      <c r="B63" s="7" t="s">
        <v>86</v>
      </c>
      <c r="C63" s="7">
        <v>21</v>
      </c>
      <c r="D63" s="7" t="s">
        <v>37</v>
      </c>
      <c r="E63" s="7" t="s">
        <v>41</v>
      </c>
      <c r="F63" s="8">
        <v>14500</v>
      </c>
      <c r="G63" s="7" t="s">
        <v>24</v>
      </c>
      <c r="H63" s="7">
        <v>7</v>
      </c>
      <c r="I63" s="7" t="s">
        <v>38</v>
      </c>
      <c r="J63" s="7">
        <v>2</v>
      </c>
      <c r="K63" s="5" t="str">
        <f>IF(Practice_Data!F63&gt;=30000,"High Sales","Normal Sales")</f>
        <v>Normal Sales</v>
      </c>
      <c r="L63" s="5" t="str">
        <f t="shared" si="1"/>
        <v>Normal</v>
      </c>
      <c r="M63" s="5" t="str">
        <f t="shared" si="4"/>
        <v>Priority Region</v>
      </c>
      <c r="N63" s="5" t="str">
        <f t="shared" si="2"/>
        <v>Payment Pending</v>
      </c>
      <c r="O63" s="5" t="str" cm="1">
        <f t="array" ref="O63">_xlfn.SWITCH(TRUE,F63&gt;=50000,"Very High",F63&gt;=30000,"High",F63&gt;=15000,"Medium",F63&lt;15000,"Low")</f>
        <v>Low</v>
      </c>
      <c r="P63" s="5" t="str">
        <f t="shared" si="3"/>
        <v>Low</v>
      </c>
      <c r="Q63" s="5"/>
      <c r="R63" s="5"/>
    </row>
    <row r="64" spans="1:18" x14ac:dyDescent="0.3">
      <c r="A64" s="7" t="s">
        <v>87</v>
      </c>
      <c r="B64" s="7" t="s">
        <v>67</v>
      </c>
      <c r="C64" s="7">
        <v>46</v>
      </c>
      <c r="D64" s="7" t="s">
        <v>47</v>
      </c>
      <c r="E64" s="7" t="s">
        <v>41</v>
      </c>
      <c r="F64" s="8">
        <v>29500</v>
      </c>
      <c r="G64" s="7" t="s">
        <v>24</v>
      </c>
      <c r="H64" s="7">
        <v>2</v>
      </c>
      <c r="I64" s="7" t="s">
        <v>36</v>
      </c>
      <c r="J64" s="7">
        <v>3</v>
      </c>
      <c r="K64" s="5" t="str">
        <f>IF(Practice_Data!F64&gt;=30000,"High Sales","Normal Sales")</f>
        <v>Normal Sales</v>
      </c>
      <c r="L64" s="5" t="str">
        <f t="shared" si="1"/>
        <v>Normal</v>
      </c>
      <c r="M64" s="5" t="str">
        <f t="shared" si="4"/>
        <v>Regular Region</v>
      </c>
      <c r="N64" s="5" t="str">
        <f t="shared" si="2"/>
        <v>Payment Pending</v>
      </c>
      <c r="O64" s="5" t="str" cm="1">
        <f t="array" ref="O64">_xlfn.SWITCH(TRUE,F64&gt;=50000,"Very High",F64&gt;=30000,"High",F64&gt;=15000,"Medium",F64&lt;15000,"Low")</f>
        <v>Medium</v>
      </c>
      <c r="P64" s="5" t="str">
        <f t="shared" si="3"/>
        <v>Medium</v>
      </c>
      <c r="Q64" s="5"/>
      <c r="R64" s="5"/>
    </row>
    <row r="65" spans="1:18" x14ac:dyDescent="0.3">
      <c r="A65" s="7" t="s">
        <v>88</v>
      </c>
      <c r="B65" s="7" t="s">
        <v>89</v>
      </c>
      <c r="C65" s="7">
        <v>30</v>
      </c>
      <c r="D65" s="7" t="s">
        <v>31</v>
      </c>
      <c r="E65" s="7" t="s">
        <v>61</v>
      </c>
      <c r="F65" s="8">
        <v>29500</v>
      </c>
      <c r="G65" s="7" t="s">
        <v>24</v>
      </c>
      <c r="H65" s="7">
        <v>8</v>
      </c>
      <c r="I65" s="7" t="s">
        <v>38</v>
      </c>
      <c r="J65" s="7">
        <v>3</v>
      </c>
      <c r="K65" s="5" t="str">
        <f>IF(Practice_Data!F65&gt;=30000,"High Sales","Normal Sales")</f>
        <v>Normal Sales</v>
      </c>
      <c r="L65" s="5" t="str">
        <f t="shared" si="1"/>
        <v>Normal</v>
      </c>
      <c r="M65" s="5" t="str">
        <f t="shared" si="4"/>
        <v>Regular Region</v>
      </c>
      <c r="N65" s="5" t="str">
        <f t="shared" si="2"/>
        <v>Payment Pending</v>
      </c>
      <c r="O65" s="5" t="str" cm="1">
        <f t="array" ref="O65">_xlfn.SWITCH(TRUE,F65&gt;=50000,"Very High",F65&gt;=30000,"High",F65&gt;=15000,"Medium",F65&lt;15000,"Low")</f>
        <v>Medium</v>
      </c>
      <c r="P65" s="5" t="str">
        <f t="shared" si="3"/>
        <v>Medium</v>
      </c>
      <c r="Q65" s="5"/>
      <c r="R65" s="5"/>
    </row>
    <row r="66" spans="1:18" x14ac:dyDescent="0.3">
      <c r="A66" s="7" t="s">
        <v>90</v>
      </c>
      <c r="B66" s="7" t="s">
        <v>91</v>
      </c>
      <c r="C66" s="7">
        <v>55</v>
      </c>
      <c r="D66" s="7" t="s">
        <v>31</v>
      </c>
      <c r="E66" s="7" t="s">
        <v>32</v>
      </c>
      <c r="F66" s="8">
        <v>16500</v>
      </c>
      <c r="G66" s="7" t="s">
        <v>24</v>
      </c>
      <c r="H66" s="7">
        <v>6</v>
      </c>
      <c r="I66" s="7" t="s">
        <v>25</v>
      </c>
      <c r="J66" s="7">
        <v>5</v>
      </c>
      <c r="K66" s="5" t="str">
        <f>IF(Practice_Data!F66&gt;=30000,"High Sales","Normal Sales")</f>
        <v>Normal Sales</v>
      </c>
      <c r="L66" s="5" t="str">
        <f t="shared" si="1"/>
        <v>Normal</v>
      </c>
      <c r="M66" s="5" t="str">
        <f t="shared" si="4"/>
        <v>Regular Region</v>
      </c>
      <c r="N66" s="5" t="str">
        <f t="shared" si="2"/>
        <v>Payment Pending</v>
      </c>
      <c r="O66" s="5" t="str" cm="1">
        <f t="array" ref="O66">_xlfn.SWITCH(TRUE,F66&gt;=50000,"Very High",F66&gt;=30000,"High",F66&gt;=15000,"Medium",F66&lt;15000,"Low")</f>
        <v>Medium</v>
      </c>
      <c r="P66" s="5" t="str">
        <f t="shared" si="3"/>
        <v>Medium</v>
      </c>
      <c r="Q66" s="5"/>
      <c r="R66" s="5"/>
    </row>
    <row r="67" spans="1:18" x14ac:dyDescent="0.3">
      <c r="A67" s="7" t="s">
        <v>92</v>
      </c>
      <c r="B67" s="7" t="s">
        <v>93</v>
      </c>
      <c r="C67" s="7">
        <v>71</v>
      </c>
      <c r="D67" s="7" t="s">
        <v>49</v>
      </c>
      <c r="E67" s="7" t="s">
        <v>61</v>
      </c>
      <c r="F67" s="8">
        <v>60000</v>
      </c>
      <c r="G67" s="7" t="s">
        <v>33</v>
      </c>
      <c r="H67" s="7">
        <v>9</v>
      </c>
      <c r="I67" s="7" t="s">
        <v>25</v>
      </c>
      <c r="J67" s="7">
        <v>2</v>
      </c>
      <c r="K67" s="5" t="str">
        <f>IF(Practice_Data!F67&gt;=30000,"High Sales","Normal Sales")</f>
        <v>Normal Sales</v>
      </c>
      <c r="L67" s="5" t="str">
        <f t="shared" si="1"/>
        <v>Urgent</v>
      </c>
      <c r="M67" s="5" t="str">
        <f t="shared" si="4"/>
        <v>Priority Region</v>
      </c>
      <c r="N67" s="5" t="str">
        <f t="shared" si="2"/>
        <v>Payment Completed</v>
      </c>
      <c r="O67" s="5" t="str" cm="1">
        <f t="array" ref="O67">_xlfn.SWITCH(TRUE,F67&gt;=50000,"Very High",F67&gt;=30000,"High",F67&gt;=15000,"Medium",F67&lt;15000,"Low")</f>
        <v>Very High</v>
      </c>
      <c r="P67" s="5" t="str">
        <f t="shared" si="3"/>
        <v>Very High</v>
      </c>
      <c r="Q67" s="5"/>
      <c r="R67" s="5"/>
    </row>
    <row r="68" spans="1:18" x14ac:dyDescent="0.3">
      <c r="A68" s="7" t="s">
        <v>94</v>
      </c>
      <c r="B68" s="7" t="s">
        <v>95</v>
      </c>
      <c r="C68" s="7">
        <v>24</v>
      </c>
      <c r="D68" s="7" t="s">
        <v>31</v>
      </c>
      <c r="E68" s="7" t="s">
        <v>32</v>
      </c>
      <c r="F68" s="8">
        <v>26000</v>
      </c>
      <c r="G68" s="7" t="s">
        <v>33</v>
      </c>
      <c r="H68" s="7">
        <v>10</v>
      </c>
      <c r="I68" s="7" t="s">
        <v>36</v>
      </c>
      <c r="J68" s="7">
        <v>1</v>
      </c>
      <c r="K68" s="5" t="str">
        <f>IF(Practice_Data!F68&gt;=30000,"High Sales","Normal Sales")</f>
        <v>Normal Sales</v>
      </c>
      <c r="L68" s="5" t="str">
        <f t="shared" si="1"/>
        <v>Normal</v>
      </c>
      <c r="M68" s="5" t="str">
        <f t="shared" si="4"/>
        <v>Regular Region</v>
      </c>
      <c r="N68" s="5" t="str">
        <f t="shared" si="2"/>
        <v>Payment Completed</v>
      </c>
      <c r="O68" s="5" t="str" cm="1">
        <f t="array" ref="O68">_xlfn.SWITCH(TRUE,F68&gt;=50000,"Very High",F68&gt;=30000,"High",F68&gt;=15000,"Medium",F68&lt;15000,"Low")</f>
        <v>Medium</v>
      </c>
      <c r="P68" s="5" t="str">
        <f t="shared" si="3"/>
        <v>Medium</v>
      </c>
      <c r="Q68" s="5"/>
      <c r="R68" s="5"/>
    </row>
    <row r="69" spans="1:18" x14ac:dyDescent="0.3">
      <c r="A69" s="7" t="s">
        <v>96</v>
      </c>
      <c r="B69" s="7" t="s">
        <v>57</v>
      </c>
      <c r="C69" s="7">
        <v>42</v>
      </c>
      <c r="D69" s="7" t="s">
        <v>37</v>
      </c>
      <c r="E69" s="7" t="s">
        <v>23</v>
      </c>
      <c r="F69" s="8">
        <v>8500</v>
      </c>
      <c r="G69" s="7" t="s">
        <v>24</v>
      </c>
      <c r="H69" s="7">
        <v>8</v>
      </c>
      <c r="I69" s="7" t="s">
        <v>28</v>
      </c>
      <c r="J69" s="7">
        <v>5</v>
      </c>
      <c r="K69" s="5" t="str">
        <f>IF(Practice_Data!F69&gt;=30000,"High Sales","Normal Sales")</f>
        <v>Normal Sales</v>
      </c>
      <c r="L69" s="5" t="str">
        <f t="shared" si="1"/>
        <v>Normal</v>
      </c>
      <c r="M69" s="5" t="str">
        <f t="shared" si="4"/>
        <v>Priority Region</v>
      </c>
      <c r="N69" s="5" t="str">
        <f t="shared" si="2"/>
        <v>Payment Pending</v>
      </c>
      <c r="O69" s="5" t="str" cm="1">
        <f t="array" ref="O69">_xlfn.SWITCH(TRUE,F69&gt;=50000,"Very High",F69&gt;=30000,"High",F69&gt;=15000,"Medium",F69&lt;15000,"Low")</f>
        <v>Low</v>
      </c>
      <c r="P69" s="5" t="str">
        <f t="shared" si="3"/>
        <v>Low</v>
      </c>
      <c r="Q69" s="5"/>
      <c r="R69" s="5"/>
    </row>
    <row r="70" spans="1:18" x14ac:dyDescent="0.3">
      <c r="A70" s="7" t="s">
        <v>97</v>
      </c>
      <c r="B70" s="7" t="s">
        <v>73</v>
      </c>
      <c r="C70" s="7">
        <v>46</v>
      </c>
      <c r="D70" s="7" t="s">
        <v>49</v>
      </c>
      <c r="E70" s="7" t="s">
        <v>44</v>
      </c>
      <c r="F70" s="8">
        <v>18500</v>
      </c>
      <c r="G70" s="7" t="s">
        <v>33</v>
      </c>
      <c r="H70" s="7">
        <v>2</v>
      </c>
      <c r="I70" s="7" t="s">
        <v>28</v>
      </c>
      <c r="J70" s="7">
        <v>2</v>
      </c>
      <c r="K70" s="5" t="str">
        <f>IF(Practice_Data!F70&gt;=30000,"High Sales","Normal Sales")</f>
        <v>Normal Sales</v>
      </c>
      <c r="L70" s="5" t="str">
        <f t="shared" si="1"/>
        <v>Normal</v>
      </c>
      <c r="M70" s="5" t="str">
        <f t="shared" si="4"/>
        <v>Priority Region</v>
      </c>
      <c r="N70" s="5" t="str">
        <f t="shared" si="2"/>
        <v>Payment Completed</v>
      </c>
      <c r="O70" s="5" t="str" cm="1">
        <f t="array" ref="O70">_xlfn.SWITCH(TRUE,F70&gt;=50000,"Very High",F70&gt;=30000,"High",F70&gt;=15000,"Medium",F70&lt;15000,"Low")</f>
        <v>Medium</v>
      </c>
      <c r="P70" s="5" t="str">
        <f t="shared" si="3"/>
        <v>Medium</v>
      </c>
      <c r="Q70" s="5"/>
      <c r="R70" s="5"/>
    </row>
    <row r="71" spans="1:18" x14ac:dyDescent="0.3">
      <c r="A71" s="7" t="s">
        <v>98</v>
      </c>
      <c r="B71" s="7" t="s">
        <v>30</v>
      </c>
      <c r="C71" s="7">
        <v>24</v>
      </c>
      <c r="D71" s="7" t="s">
        <v>37</v>
      </c>
      <c r="E71" s="7" t="s">
        <v>23</v>
      </c>
      <c r="F71" s="8">
        <v>6500</v>
      </c>
      <c r="G71" s="7" t="s">
        <v>24</v>
      </c>
      <c r="H71" s="7">
        <v>7</v>
      </c>
      <c r="I71" s="7" t="s">
        <v>38</v>
      </c>
      <c r="J71" s="7">
        <v>5</v>
      </c>
      <c r="K71" s="5" t="str">
        <f>IF(Practice_Data!F71&gt;=30000,"High Sales","Normal Sales")</f>
        <v>Normal Sales</v>
      </c>
      <c r="L71" s="5" t="str">
        <f t="shared" si="1"/>
        <v>Normal</v>
      </c>
      <c r="M71" s="5" t="str">
        <f t="shared" si="4"/>
        <v>Priority Region</v>
      </c>
      <c r="N71" s="5" t="str">
        <f t="shared" si="2"/>
        <v>Payment Pending</v>
      </c>
      <c r="O71" s="5" t="str" cm="1">
        <f t="array" ref="O71">_xlfn.SWITCH(TRUE,F71&gt;=50000,"Very High",F71&gt;=30000,"High",F71&gt;=15000,"Medium",F71&lt;15000,"Low")</f>
        <v>Low</v>
      </c>
      <c r="P71" s="5" t="str">
        <f t="shared" si="3"/>
        <v>Low</v>
      </c>
      <c r="Q71" s="5"/>
      <c r="R71" s="5"/>
    </row>
    <row r="72" spans="1:18" x14ac:dyDescent="0.3">
      <c r="A72" s="7" t="s">
        <v>99</v>
      </c>
      <c r="B72" s="7" t="s">
        <v>51</v>
      </c>
      <c r="C72" s="7">
        <v>30</v>
      </c>
      <c r="D72" s="7" t="s">
        <v>37</v>
      </c>
      <c r="E72" s="7" t="s">
        <v>61</v>
      </c>
      <c r="F72" s="8">
        <v>16500</v>
      </c>
      <c r="G72" s="7" t="s">
        <v>24</v>
      </c>
      <c r="H72" s="7">
        <v>6</v>
      </c>
      <c r="I72" s="7" t="s">
        <v>25</v>
      </c>
      <c r="J72" s="7">
        <v>3</v>
      </c>
      <c r="K72" s="5" t="str">
        <f>IF(Practice_Data!F72&gt;=30000,"High Sales","Normal Sales")</f>
        <v>Normal Sales</v>
      </c>
      <c r="L72" s="5" t="str">
        <f t="shared" si="1"/>
        <v>Normal</v>
      </c>
      <c r="M72" s="5" t="str">
        <f t="shared" si="4"/>
        <v>Priority Region</v>
      </c>
      <c r="N72" s="5" t="str">
        <f t="shared" si="2"/>
        <v>Payment Pending</v>
      </c>
      <c r="O72" s="5" t="str" cm="1">
        <f t="array" ref="O72">_xlfn.SWITCH(TRUE,F72&gt;=50000,"Very High",F72&gt;=30000,"High",F72&gt;=15000,"Medium",F72&lt;15000,"Low")</f>
        <v>Medium</v>
      </c>
      <c r="P72" s="5" t="str">
        <f t="shared" si="3"/>
        <v>Medium</v>
      </c>
      <c r="Q72" s="5"/>
      <c r="R72" s="5"/>
    </row>
    <row r="73" spans="1:18" x14ac:dyDescent="0.3">
      <c r="A73" s="7" t="s">
        <v>100</v>
      </c>
      <c r="B73" s="7" t="s">
        <v>64</v>
      </c>
      <c r="C73" s="7">
        <v>21</v>
      </c>
      <c r="D73" s="7" t="s">
        <v>22</v>
      </c>
      <c r="E73" s="7" t="s">
        <v>44</v>
      </c>
      <c r="F73" s="8">
        <v>52000</v>
      </c>
      <c r="G73" s="7" t="s">
        <v>24</v>
      </c>
      <c r="H73" s="7">
        <v>5</v>
      </c>
      <c r="I73" s="7" t="s">
        <v>36</v>
      </c>
      <c r="J73" s="7">
        <v>5</v>
      </c>
      <c r="K73" s="5" t="str">
        <f>IF(Practice_Data!F73&gt;=30000,"High Sales","Normal Sales")</f>
        <v>Normal Sales</v>
      </c>
      <c r="L73" s="5" t="str">
        <f t="shared" si="1"/>
        <v>Normal</v>
      </c>
      <c r="M73" s="5" t="str">
        <f t="shared" si="4"/>
        <v>Regular Region</v>
      </c>
      <c r="N73" s="5" t="str">
        <f t="shared" si="2"/>
        <v>Payment Pending</v>
      </c>
      <c r="O73" s="5" t="str" cm="1">
        <f t="array" ref="O73">_xlfn.SWITCH(TRUE,F73&gt;=50000,"Very High",F73&gt;=30000,"High",F73&gt;=15000,"Medium",F73&lt;15000,"Low")</f>
        <v>Very High</v>
      </c>
      <c r="P73" s="5" t="str">
        <f t="shared" si="3"/>
        <v>Very High</v>
      </c>
      <c r="Q73" s="5"/>
      <c r="R73" s="5"/>
    </row>
    <row r="74" spans="1:18" x14ac:dyDescent="0.3">
      <c r="A74" s="7" t="s">
        <v>101</v>
      </c>
      <c r="B74" s="7" t="s">
        <v>93</v>
      </c>
      <c r="C74" s="7">
        <v>42</v>
      </c>
      <c r="D74" s="7" t="s">
        <v>47</v>
      </c>
      <c r="E74" s="7" t="s">
        <v>44</v>
      </c>
      <c r="F74" s="8">
        <v>41000</v>
      </c>
      <c r="G74" s="7" t="s">
        <v>24</v>
      </c>
      <c r="H74" s="7">
        <v>9</v>
      </c>
      <c r="I74" s="7" t="s">
        <v>28</v>
      </c>
      <c r="J74" s="7">
        <v>1</v>
      </c>
      <c r="K74" s="5" t="str">
        <f>IF(Practice_Data!F74&gt;=30000,"High Sales","Normal Sales")</f>
        <v>Normal Sales</v>
      </c>
      <c r="L74" s="5" t="str">
        <f t="shared" si="1"/>
        <v>Normal</v>
      </c>
      <c r="M74" s="5" t="str">
        <f t="shared" si="4"/>
        <v>Regular Region</v>
      </c>
      <c r="N74" s="5" t="str">
        <f t="shared" si="2"/>
        <v>Payment Pending</v>
      </c>
      <c r="O74" s="5" t="str" cm="1">
        <f t="array" ref="O74">_xlfn.SWITCH(TRUE,F74&gt;=50000,"Very High",F74&gt;=30000,"High",F74&gt;=15000,"Medium",F74&lt;15000,"Low")</f>
        <v>High</v>
      </c>
      <c r="P74" s="5" t="str">
        <f t="shared" si="3"/>
        <v>High</v>
      </c>
      <c r="Q74" s="5"/>
      <c r="R74" s="5"/>
    </row>
    <row r="75" spans="1:18" x14ac:dyDescent="0.3">
      <c r="A75" s="7" t="s">
        <v>102</v>
      </c>
      <c r="B75" s="7" t="s">
        <v>86</v>
      </c>
      <c r="C75" s="7">
        <v>46</v>
      </c>
      <c r="D75" s="7" t="s">
        <v>31</v>
      </c>
      <c r="E75" s="7" t="s">
        <v>44</v>
      </c>
      <c r="F75" s="8">
        <v>12500</v>
      </c>
      <c r="G75" s="7" t="s">
        <v>24</v>
      </c>
      <c r="H75" s="7">
        <v>7</v>
      </c>
      <c r="I75" s="7" t="s">
        <v>38</v>
      </c>
      <c r="J75" s="7">
        <v>5</v>
      </c>
      <c r="K75" s="5" t="str">
        <f>IF(Practice_Data!F75&gt;=30000,"High Sales","Normal Sales")</f>
        <v>Normal Sales</v>
      </c>
      <c r="L75" s="5" t="str">
        <f t="shared" si="1"/>
        <v>Normal</v>
      </c>
      <c r="M75" s="5" t="str">
        <f t="shared" si="4"/>
        <v>Regular Region</v>
      </c>
      <c r="N75" s="5" t="str">
        <f t="shared" si="2"/>
        <v>Payment Pending</v>
      </c>
      <c r="O75" s="5" t="str" cm="1">
        <f t="array" ref="O75">_xlfn.SWITCH(TRUE,F75&gt;=50000,"Very High",F75&gt;=30000,"High",F75&gt;=15000,"Medium",F75&lt;15000,"Low")</f>
        <v>Low</v>
      </c>
      <c r="P75" s="5" t="str">
        <f t="shared" si="3"/>
        <v>Low</v>
      </c>
      <c r="Q75" s="5"/>
      <c r="R75" s="5"/>
    </row>
    <row r="76" spans="1:18" x14ac:dyDescent="0.3">
      <c r="A76" s="7" t="s">
        <v>103</v>
      </c>
      <c r="B76" s="7" t="s">
        <v>104</v>
      </c>
      <c r="C76" s="7">
        <v>46</v>
      </c>
      <c r="D76" s="7" t="s">
        <v>47</v>
      </c>
      <c r="E76" s="7" t="s">
        <v>61</v>
      </c>
      <c r="F76" s="8">
        <v>29500</v>
      </c>
      <c r="G76" s="7" t="s">
        <v>24</v>
      </c>
      <c r="H76" s="7">
        <v>8</v>
      </c>
      <c r="I76" s="7" t="s">
        <v>25</v>
      </c>
      <c r="J76" s="7">
        <v>1</v>
      </c>
      <c r="K76" s="5" t="str">
        <f>IF(Practice_Data!F76&gt;=30000,"High Sales","Normal Sales")</f>
        <v>Normal Sales</v>
      </c>
      <c r="L76" s="5" t="str">
        <f t="shared" si="1"/>
        <v>Normal</v>
      </c>
      <c r="M76" s="5" t="str">
        <f t="shared" si="4"/>
        <v>Regular Region</v>
      </c>
      <c r="N76" s="5" t="str">
        <f t="shared" si="2"/>
        <v>Payment Pending</v>
      </c>
      <c r="O76" s="5" t="str" cm="1">
        <f t="array" ref="O76">_xlfn.SWITCH(TRUE,F76&gt;=50000,"Very High",F76&gt;=30000,"High",F76&gt;=15000,"Medium",F76&lt;15000,"Low")</f>
        <v>Medium</v>
      </c>
      <c r="P76" s="5" t="str">
        <f t="shared" si="3"/>
        <v>Medium</v>
      </c>
      <c r="Q76" s="5"/>
      <c r="R76" s="5"/>
    </row>
    <row r="77" spans="1:18" x14ac:dyDescent="0.3">
      <c r="A77" s="7" t="s">
        <v>105</v>
      </c>
      <c r="B77" s="7" t="s">
        <v>91</v>
      </c>
      <c r="C77" s="7">
        <v>71</v>
      </c>
      <c r="D77" s="7" t="s">
        <v>31</v>
      </c>
      <c r="E77" s="7" t="s">
        <v>41</v>
      </c>
      <c r="F77" s="8">
        <v>32000</v>
      </c>
      <c r="G77" s="7" t="s">
        <v>33</v>
      </c>
      <c r="H77" s="7">
        <v>5</v>
      </c>
      <c r="I77" s="7" t="s">
        <v>36</v>
      </c>
      <c r="J77" s="7">
        <v>4</v>
      </c>
      <c r="K77" s="5" t="str">
        <f>IF(Practice_Data!F77&gt;=30000,"High Sales","Normal Sales")</f>
        <v>Normal Sales</v>
      </c>
      <c r="L77" s="5" t="str">
        <f t="shared" si="1"/>
        <v>Normal</v>
      </c>
      <c r="M77" s="5" t="str">
        <f t="shared" si="4"/>
        <v>Regular Region</v>
      </c>
      <c r="N77" s="5" t="str">
        <f t="shared" si="2"/>
        <v>Payment Completed</v>
      </c>
      <c r="O77" s="5" t="str" cm="1">
        <f t="array" ref="O77">_xlfn.SWITCH(TRUE,F77&gt;=50000,"Very High",F77&gt;=30000,"High",F77&gt;=15000,"Medium",F77&lt;15000,"Low")</f>
        <v>High</v>
      </c>
      <c r="P77" s="5" t="str">
        <f t="shared" si="3"/>
        <v>High</v>
      </c>
      <c r="Q77" s="5"/>
      <c r="R77" s="5"/>
    </row>
    <row r="78" spans="1:18" x14ac:dyDescent="0.3">
      <c r="A78" s="7" t="s">
        <v>106</v>
      </c>
      <c r="B78" s="7" t="s">
        <v>107</v>
      </c>
      <c r="C78" s="7">
        <v>27</v>
      </c>
      <c r="D78" s="7" t="s">
        <v>37</v>
      </c>
      <c r="E78" s="7" t="s">
        <v>44</v>
      </c>
      <c r="F78" s="8">
        <v>6500</v>
      </c>
      <c r="G78" s="7" t="s">
        <v>24</v>
      </c>
      <c r="H78" s="7">
        <v>3</v>
      </c>
      <c r="I78" s="7" t="s">
        <v>38</v>
      </c>
      <c r="J78" s="7">
        <v>3</v>
      </c>
      <c r="K78" s="5" t="str">
        <f>IF(Practice_Data!F78&gt;=30000,"High Sales","Normal Sales")</f>
        <v>Normal Sales</v>
      </c>
      <c r="L78" s="5" t="str">
        <f t="shared" si="1"/>
        <v>Normal</v>
      </c>
      <c r="M78" s="5" t="str">
        <f t="shared" si="4"/>
        <v>Priority Region</v>
      </c>
      <c r="N78" s="5" t="str">
        <f t="shared" si="2"/>
        <v>Payment Pending</v>
      </c>
      <c r="O78" s="5" t="str" cm="1">
        <f t="array" ref="O78">_xlfn.SWITCH(TRUE,F78&gt;=50000,"Very High",F78&gt;=30000,"High",F78&gt;=15000,"Medium",F78&lt;15000,"Low")</f>
        <v>Low</v>
      </c>
      <c r="P78" s="5" t="str">
        <f t="shared" si="3"/>
        <v>Low</v>
      </c>
      <c r="Q78" s="5"/>
      <c r="R78" s="5"/>
    </row>
    <row r="79" spans="1:18" x14ac:dyDescent="0.3">
      <c r="A79" s="7" t="s">
        <v>108</v>
      </c>
      <c r="B79" s="7" t="s">
        <v>107</v>
      </c>
      <c r="C79" s="7">
        <v>27</v>
      </c>
      <c r="D79" s="7" t="s">
        <v>49</v>
      </c>
      <c r="E79" s="7" t="s">
        <v>32</v>
      </c>
      <c r="F79" s="8">
        <v>45000</v>
      </c>
      <c r="G79" s="7" t="s">
        <v>33</v>
      </c>
      <c r="H79" s="7">
        <v>8</v>
      </c>
      <c r="I79" s="7" t="s">
        <v>28</v>
      </c>
      <c r="J79" s="7">
        <v>1</v>
      </c>
      <c r="K79" s="5" t="str">
        <f>IF(Practice_Data!F79&gt;=30000,"High Sales","Normal Sales")</f>
        <v>Normal Sales</v>
      </c>
      <c r="L79" s="5" t="str">
        <f t="shared" si="1"/>
        <v>Urgent</v>
      </c>
      <c r="M79" s="5" t="str">
        <f t="shared" si="4"/>
        <v>Priority Region</v>
      </c>
      <c r="N79" s="5" t="str">
        <f t="shared" si="2"/>
        <v>Payment Completed</v>
      </c>
      <c r="O79" s="5" t="str" cm="1">
        <f t="array" ref="O79">_xlfn.SWITCH(TRUE,F79&gt;=50000,"Very High",F79&gt;=30000,"High",F79&gt;=15000,"Medium",F79&lt;15000,"Low")</f>
        <v>High</v>
      </c>
      <c r="P79" s="5" t="str">
        <f t="shared" si="3"/>
        <v>High</v>
      </c>
      <c r="Q79" s="5"/>
      <c r="R79" s="5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3" workbookViewId="0">
      <selection sqref="A1:D1"/>
    </sheetView>
  </sheetViews>
  <sheetFormatPr defaultRowHeight="14.4" x14ac:dyDescent="0.3"/>
  <cols>
    <col min="1" max="1" width="7" customWidth="1"/>
    <col min="2" max="2" width="20" customWidth="1"/>
    <col min="3" max="3" width="72" customWidth="1"/>
    <col min="4" max="4" width="42" customWidth="1"/>
  </cols>
  <sheetData>
    <row r="1" spans="1:4" ht="19.8" x14ac:dyDescent="0.3">
      <c r="A1" s="19" t="s">
        <v>109</v>
      </c>
      <c r="B1" s="18"/>
      <c r="C1" s="18"/>
      <c r="D1" s="18"/>
    </row>
    <row r="3" spans="1:4" x14ac:dyDescent="0.3">
      <c r="A3" s="2" t="s">
        <v>110</v>
      </c>
      <c r="B3" s="2" t="s">
        <v>111</v>
      </c>
      <c r="C3" s="2" t="s">
        <v>112</v>
      </c>
      <c r="D3" s="2" t="s">
        <v>113</v>
      </c>
    </row>
    <row r="4" spans="1:4" x14ac:dyDescent="0.3">
      <c r="A4" s="3">
        <v>1</v>
      </c>
      <c r="B4" s="3" t="s">
        <v>114</v>
      </c>
      <c r="C4" s="3" t="s">
        <v>115</v>
      </c>
      <c r="D4" s="3" t="s">
        <v>116</v>
      </c>
    </row>
    <row r="5" spans="1:4" ht="28.8" x14ac:dyDescent="0.3">
      <c r="A5" s="3">
        <v>2</v>
      </c>
      <c r="B5" s="3" t="s">
        <v>117</v>
      </c>
      <c r="C5" s="3" t="s">
        <v>118</v>
      </c>
      <c r="D5" s="3" t="s">
        <v>119</v>
      </c>
    </row>
    <row r="6" spans="1:4" x14ac:dyDescent="0.3">
      <c r="A6" s="3">
        <v>3</v>
      </c>
      <c r="B6" s="3" t="s">
        <v>120</v>
      </c>
      <c r="C6" s="3" t="s">
        <v>121</v>
      </c>
      <c r="D6" s="3" t="s">
        <v>122</v>
      </c>
    </row>
    <row r="7" spans="1:4" ht="28.8" x14ac:dyDescent="0.3">
      <c r="A7" s="3">
        <v>4</v>
      </c>
      <c r="B7" s="3" t="s">
        <v>123</v>
      </c>
      <c r="C7" s="3" t="s">
        <v>124</v>
      </c>
      <c r="D7" s="3" t="s">
        <v>125</v>
      </c>
    </row>
    <row r="8" spans="1:4" ht="28.8" x14ac:dyDescent="0.3">
      <c r="A8" s="3">
        <v>5</v>
      </c>
      <c r="B8" s="3" t="s">
        <v>126</v>
      </c>
      <c r="C8" s="3" t="s">
        <v>127</v>
      </c>
      <c r="D8" s="3" t="s">
        <v>128</v>
      </c>
    </row>
    <row r="9" spans="1:4" x14ac:dyDescent="0.3">
      <c r="A9" s="3">
        <v>6</v>
      </c>
      <c r="B9" s="3" t="s">
        <v>129</v>
      </c>
      <c r="C9" s="3" t="s">
        <v>130</v>
      </c>
      <c r="D9" s="3" t="s">
        <v>131</v>
      </c>
    </row>
    <row r="10" spans="1:4" x14ac:dyDescent="0.3">
      <c r="A10" s="3">
        <v>7</v>
      </c>
      <c r="B10" s="3" t="s">
        <v>132</v>
      </c>
      <c r="C10" s="3" t="s">
        <v>133</v>
      </c>
      <c r="D10" s="3" t="s">
        <v>134</v>
      </c>
    </row>
    <row r="11" spans="1:4" x14ac:dyDescent="0.3">
      <c r="A11" s="3">
        <v>8</v>
      </c>
      <c r="B11" s="3" t="s">
        <v>135</v>
      </c>
      <c r="C11" s="3" t="s">
        <v>136</v>
      </c>
      <c r="D11" s="3" t="s">
        <v>137</v>
      </c>
    </row>
    <row r="12" spans="1:4" x14ac:dyDescent="0.3">
      <c r="A12" s="3">
        <v>9</v>
      </c>
      <c r="B12" s="3" t="s">
        <v>138</v>
      </c>
      <c r="C12" s="3" t="s">
        <v>139</v>
      </c>
      <c r="D12" s="3" t="s">
        <v>140</v>
      </c>
    </row>
    <row r="13" spans="1:4" x14ac:dyDescent="0.3">
      <c r="A13" s="3">
        <v>10</v>
      </c>
      <c r="B13" s="3" t="s">
        <v>141</v>
      </c>
      <c r="C13" s="3" t="s">
        <v>142</v>
      </c>
      <c r="D13" s="3" t="s">
        <v>143</v>
      </c>
    </row>
    <row r="14" spans="1:4" x14ac:dyDescent="0.3">
      <c r="A14" s="3">
        <v>11</v>
      </c>
      <c r="B14" s="3" t="s">
        <v>144</v>
      </c>
      <c r="C14" s="3" t="s">
        <v>145</v>
      </c>
      <c r="D14" s="3" t="s">
        <v>146</v>
      </c>
    </row>
    <row r="15" spans="1:4" x14ac:dyDescent="0.3">
      <c r="A15" s="3">
        <v>12</v>
      </c>
      <c r="B15" s="3" t="s">
        <v>147</v>
      </c>
      <c r="C15" s="3" t="s">
        <v>148</v>
      </c>
      <c r="D15" s="3" t="s">
        <v>149</v>
      </c>
    </row>
    <row r="16" spans="1:4" x14ac:dyDescent="0.3">
      <c r="A16" s="3">
        <v>13</v>
      </c>
      <c r="B16" s="3" t="s">
        <v>150</v>
      </c>
      <c r="C16" s="3" t="s">
        <v>151</v>
      </c>
      <c r="D16" s="3" t="s">
        <v>152</v>
      </c>
    </row>
    <row r="17" spans="1:4" x14ac:dyDescent="0.3">
      <c r="A17" s="3">
        <v>14</v>
      </c>
      <c r="B17" s="3" t="s">
        <v>153</v>
      </c>
      <c r="C17" s="3" t="s">
        <v>154</v>
      </c>
      <c r="D17" s="3" t="s">
        <v>155</v>
      </c>
    </row>
    <row r="18" spans="1:4" ht="28.8" x14ac:dyDescent="0.3">
      <c r="A18" s="3">
        <v>15</v>
      </c>
      <c r="B18" s="3" t="s">
        <v>156</v>
      </c>
      <c r="C18" s="3" t="s">
        <v>157</v>
      </c>
      <c r="D18" s="3" t="s">
        <v>158</v>
      </c>
    </row>
    <row r="19" spans="1:4" ht="28.8" x14ac:dyDescent="0.3">
      <c r="A19" s="3">
        <v>16</v>
      </c>
      <c r="B19" s="3" t="s">
        <v>156</v>
      </c>
      <c r="C19" s="3" t="s">
        <v>159</v>
      </c>
      <c r="D19" s="3" t="s">
        <v>160</v>
      </c>
    </row>
    <row r="20" spans="1:4" ht="28.8" x14ac:dyDescent="0.3">
      <c r="A20" s="3">
        <v>17</v>
      </c>
      <c r="B20" s="3" t="s">
        <v>156</v>
      </c>
      <c r="C20" s="3" t="s">
        <v>161</v>
      </c>
      <c r="D20" s="3" t="s">
        <v>122</v>
      </c>
    </row>
    <row r="21" spans="1:4" x14ac:dyDescent="0.3">
      <c r="A21" s="3">
        <v>18</v>
      </c>
      <c r="B21" s="3" t="s">
        <v>156</v>
      </c>
      <c r="C21" s="3" t="s">
        <v>162</v>
      </c>
      <c r="D21" s="3" t="s">
        <v>163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opLeftCell="B1" workbookViewId="0">
      <selection activeCell="D4" sqref="D4"/>
    </sheetView>
  </sheetViews>
  <sheetFormatPr defaultRowHeight="14.4" x14ac:dyDescent="0.3"/>
  <cols>
    <col min="1" max="1" width="9" customWidth="1"/>
    <col min="2" max="2" width="25" customWidth="1"/>
    <col min="3" max="3" width="75" customWidth="1"/>
    <col min="4" max="5" width="28" customWidth="1"/>
    <col min="6" max="6" width="18" customWidth="1"/>
  </cols>
  <sheetData>
    <row r="1" spans="1:6" ht="19.8" x14ac:dyDescent="0.3">
      <c r="A1" s="19" t="s">
        <v>199</v>
      </c>
      <c r="B1" s="18"/>
      <c r="C1" s="18"/>
      <c r="D1" s="18"/>
      <c r="E1" s="18"/>
      <c r="F1" s="18"/>
    </row>
    <row r="3" spans="1:6" x14ac:dyDescent="0.3">
      <c r="A3" s="2" t="s">
        <v>200</v>
      </c>
      <c r="B3" s="2" t="s">
        <v>201</v>
      </c>
      <c r="C3" s="2" t="s">
        <v>202</v>
      </c>
      <c r="D3" s="2" t="s">
        <v>203</v>
      </c>
      <c r="E3" s="2" t="s">
        <v>204</v>
      </c>
      <c r="F3" s="2" t="s">
        <v>205</v>
      </c>
    </row>
    <row r="4" spans="1:6" ht="28.8" x14ac:dyDescent="0.3">
      <c r="A4" s="3" t="s">
        <v>206</v>
      </c>
      <c r="B4" s="3" t="s">
        <v>207</v>
      </c>
      <c r="C4" s="3" t="s">
        <v>208</v>
      </c>
      <c r="D4" s="4"/>
      <c r="E4" s="3" t="s">
        <v>209</v>
      </c>
      <c r="F4" s="3" t="s">
        <v>183</v>
      </c>
    </row>
    <row r="5" spans="1:6" x14ac:dyDescent="0.3">
      <c r="A5" s="3" t="s">
        <v>210</v>
      </c>
      <c r="B5" s="3" t="s">
        <v>211</v>
      </c>
      <c r="C5" s="3" t="s">
        <v>212</v>
      </c>
      <c r="D5" s="4"/>
      <c r="E5" s="3" t="s">
        <v>213</v>
      </c>
      <c r="F5" s="3" t="s">
        <v>214</v>
      </c>
    </row>
    <row r="6" spans="1:6" x14ac:dyDescent="0.3">
      <c r="A6" s="3" t="s">
        <v>215</v>
      </c>
      <c r="B6" s="3" t="s">
        <v>216</v>
      </c>
      <c r="C6" s="3" t="s">
        <v>217</v>
      </c>
      <c r="D6" s="4"/>
      <c r="E6" s="3" t="s">
        <v>218</v>
      </c>
      <c r="F6" s="3" t="s">
        <v>183</v>
      </c>
    </row>
    <row r="7" spans="1:6" x14ac:dyDescent="0.3">
      <c r="A7" s="3" t="s">
        <v>219</v>
      </c>
      <c r="B7" s="3" t="s">
        <v>220</v>
      </c>
      <c r="C7" s="3" t="s">
        <v>221</v>
      </c>
      <c r="D7" s="4"/>
      <c r="E7" s="3" t="s">
        <v>129</v>
      </c>
      <c r="F7" s="3" t="s">
        <v>183</v>
      </c>
    </row>
    <row r="8" spans="1:6" x14ac:dyDescent="0.3">
      <c r="A8" s="3" t="s">
        <v>222</v>
      </c>
      <c r="B8" s="3" t="s">
        <v>223</v>
      </c>
      <c r="C8" s="3" t="s">
        <v>224</v>
      </c>
      <c r="D8" s="4"/>
      <c r="E8" s="3" t="s">
        <v>218</v>
      </c>
      <c r="F8" s="3" t="s">
        <v>173</v>
      </c>
    </row>
    <row r="9" spans="1:6" x14ac:dyDescent="0.3">
      <c r="A9" s="3" t="s">
        <v>225</v>
      </c>
      <c r="B9" s="3" t="s">
        <v>226</v>
      </c>
      <c r="C9" s="3" t="s">
        <v>227</v>
      </c>
      <c r="D9" s="4"/>
      <c r="E9" s="3" t="s">
        <v>228</v>
      </c>
      <c r="F9" s="3" t="s">
        <v>183</v>
      </c>
    </row>
    <row r="10" spans="1:6" x14ac:dyDescent="0.3">
      <c r="A10" s="3" t="s">
        <v>229</v>
      </c>
      <c r="B10" s="3" t="s">
        <v>230</v>
      </c>
      <c r="C10" s="3" t="s">
        <v>231</v>
      </c>
      <c r="D10" s="4"/>
      <c r="E10" s="3" t="s">
        <v>232</v>
      </c>
      <c r="F10" s="3" t="s">
        <v>214</v>
      </c>
    </row>
    <row r="11" spans="1:6" x14ac:dyDescent="0.3">
      <c r="A11" s="3" t="s">
        <v>233</v>
      </c>
      <c r="B11" s="3" t="s">
        <v>234</v>
      </c>
      <c r="C11" s="3" t="s">
        <v>235</v>
      </c>
      <c r="D11" s="4"/>
      <c r="E11" s="3" t="s">
        <v>236</v>
      </c>
      <c r="F11" s="3" t="s">
        <v>214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selection activeCell="C11" sqref="C11"/>
    </sheetView>
  </sheetViews>
  <sheetFormatPr defaultRowHeight="14.4" x14ac:dyDescent="0.3"/>
  <cols>
    <col min="1" max="1" width="30" customWidth="1"/>
    <col min="2" max="2" width="90" customWidth="1"/>
    <col min="3" max="3" width="35" customWidth="1"/>
  </cols>
  <sheetData>
    <row r="1" spans="1:3" ht="19.8" x14ac:dyDescent="0.3">
      <c r="A1" s="19" t="s">
        <v>237</v>
      </c>
      <c r="B1" s="18"/>
      <c r="C1" s="18"/>
    </row>
    <row r="3" spans="1:3" x14ac:dyDescent="0.3">
      <c r="A3" s="2" t="s">
        <v>111</v>
      </c>
      <c r="B3" s="2" t="s">
        <v>238</v>
      </c>
      <c r="C3" s="2" t="s">
        <v>239</v>
      </c>
    </row>
    <row r="4" spans="1:3" x14ac:dyDescent="0.3">
      <c r="A4" s="3" t="s">
        <v>114</v>
      </c>
      <c r="B4" s="3" t="str">
        <f>IF(F5&gt;=30000,"High Sales","Normal Sales")</f>
        <v>Normal Sales</v>
      </c>
      <c r="C4" s="3" t="s">
        <v>240</v>
      </c>
    </row>
    <row r="5" spans="1:3" x14ac:dyDescent="0.3">
      <c r="A5" s="3" t="s">
        <v>117</v>
      </c>
      <c r="B5" s="3" t="str">
        <f>IF(AND(F5&gt;=40000,G5="Pending"),"Urgent","Normal")</f>
        <v>Normal</v>
      </c>
      <c r="C5" s="3" t="s">
        <v>240</v>
      </c>
    </row>
    <row r="6" spans="1:3" x14ac:dyDescent="0.3">
      <c r="A6" s="3" t="s">
        <v>120</v>
      </c>
      <c r="B6" s="3" t="str">
        <f>IF(OR(D5="South",D5="West"),"Priority Region","Regular Region")</f>
        <v>Regular Region</v>
      </c>
      <c r="C6" s="3" t="s">
        <v>240</v>
      </c>
    </row>
    <row r="7" spans="1:3" x14ac:dyDescent="0.3">
      <c r="A7" s="3" t="s">
        <v>123</v>
      </c>
      <c r="B7" s="3" t="str">
        <f>IF(NOT(G5="Pending"),"Payment Complete","Payment Pending")</f>
        <v>Payment Complete</v>
      </c>
      <c r="C7" s="3" t="s">
        <v>240</v>
      </c>
    </row>
    <row r="8" spans="1:3" x14ac:dyDescent="0.3">
      <c r="A8" s="3" t="s">
        <v>126</v>
      </c>
      <c r="B8" s="3" t="str">
        <f>_xlfn.SWITCH(TRUE,F5&gt;=50000,"Very High",F5&gt;=30000,"High",F5&gt;=15000,"Medium","Low")</f>
        <v>Low</v>
      </c>
      <c r="C8" s="3" t="s">
        <v>240</v>
      </c>
    </row>
    <row r="9" spans="1:3" x14ac:dyDescent="0.3">
      <c r="A9" s="3" t="s">
        <v>129</v>
      </c>
      <c r="B9" s="3" t="str">
        <f>IF(F5&gt;=50000,"Very High",IF(F5&gt;=30000,"High",IF(F5&gt;=15000,"Medium","Low")))</f>
        <v>Low</v>
      </c>
      <c r="C9" s="3" t="s">
        <v>240</v>
      </c>
    </row>
    <row r="10" spans="1:3" x14ac:dyDescent="0.3">
      <c r="A10" s="3" t="s">
        <v>132</v>
      </c>
      <c r="B10" s="3">
        <f>SUM(F5:F54)</f>
        <v>0</v>
      </c>
      <c r="C10" s="3" t="s">
        <v>241</v>
      </c>
    </row>
    <row r="11" spans="1:3" x14ac:dyDescent="0.3">
      <c r="A11" s="3" t="s">
        <v>135</v>
      </c>
      <c r="B11" s="3">
        <f>SUMIF(D5:D54,"South",F5:F54)</f>
        <v>0</v>
      </c>
      <c r="C11" s="3" t="s">
        <v>242</v>
      </c>
    </row>
    <row r="12" spans="1:3" x14ac:dyDescent="0.3">
      <c r="A12" s="3" t="s">
        <v>138</v>
      </c>
      <c r="B12" s="3">
        <f>COUNTIF(G5:G54,"Pending")</f>
        <v>0</v>
      </c>
      <c r="C12" s="3" t="s">
        <v>243</v>
      </c>
    </row>
    <row r="13" spans="1:3" x14ac:dyDescent="0.3">
      <c r="A13" s="3" t="s">
        <v>141</v>
      </c>
      <c r="B13" s="3" t="e">
        <f>AVERAGEIF(E5:E54,"Electronics",F5:F54)</f>
        <v>#DIV/0!</v>
      </c>
      <c r="C13" s="3" t="s">
        <v>244</v>
      </c>
    </row>
    <row r="14" spans="1:3" x14ac:dyDescent="0.3">
      <c r="A14" s="3" t="s">
        <v>144</v>
      </c>
      <c r="B14" s="3">
        <f ca="1">SUMIFS(F5:F54,D5:D54,"South",G5:G54,"Pending")</f>
        <v>0</v>
      </c>
      <c r="C14" s="3" t="s">
        <v>245</v>
      </c>
    </row>
    <row r="15" spans="1:3" x14ac:dyDescent="0.3">
      <c r="A15" s="3" t="s">
        <v>147</v>
      </c>
      <c r="B15" s="3">
        <f>COUNTIFS(D5:D54,"West",H5:H54,"&gt;6")</f>
        <v>0</v>
      </c>
      <c r="C15" s="3" t="s">
        <v>245</v>
      </c>
    </row>
    <row r="16" spans="1:3" x14ac:dyDescent="0.3">
      <c r="A16" s="3" t="s">
        <v>150</v>
      </c>
      <c r="B16" s="3" t="e">
        <f ca="1">_xludf.MAXIFS(F5:F54,E5:E54,"Electronics")</f>
        <v>#NAME?</v>
      </c>
      <c r="C16" s="3" t="s">
        <v>246</v>
      </c>
    </row>
    <row r="17" spans="1:3" x14ac:dyDescent="0.3">
      <c r="A17" s="3" t="s">
        <v>153</v>
      </c>
      <c r="B17" s="3" t="e">
        <f ca="1">_xludf.MINIFS(F5:F54,D5:D54,"South")</f>
        <v>#NAME?</v>
      </c>
      <c r="C17" s="3" t="s">
        <v>247</v>
      </c>
    </row>
    <row r="18" spans="1:3" x14ac:dyDescent="0.3">
      <c r="A18" s="3" t="s">
        <v>248</v>
      </c>
      <c r="B18" s="3" t="str">
        <f>IF(AND(G5="Pending",F5&gt;=40000),"High Risk",IF(G5="Pending","Medium Risk","Low Risk"))</f>
        <v>Low Risk</v>
      </c>
      <c r="C18" s="3" t="s">
        <v>249</v>
      </c>
    </row>
    <row r="19" spans="1:3" x14ac:dyDescent="0.3">
      <c r="A19" s="3" t="s">
        <v>250</v>
      </c>
      <c r="B19" s="3" t="str">
        <f>IF(OR(J5&lt;=2,G5="Pending"),"Follow Up","No Follow Up")</f>
        <v>Follow Up</v>
      </c>
      <c r="C19" s="3" t="s">
        <v>251</v>
      </c>
    </row>
    <row r="20" spans="1:3" x14ac:dyDescent="0.3">
      <c r="A20" s="3" t="s">
        <v>252</v>
      </c>
      <c r="B20" s="3" t="str">
        <f>IF(AND(F5&gt;=30000,OR(G5="Pending",J5&lt;=2)),"Review","No Review")</f>
        <v>No Review</v>
      </c>
      <c r="C20" s="3" t="s">
        <v>253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zoomScale="91" workbookViewId="0">
      <selection activeCell="D4" sqref="D4"/>
    </sheetView>
  </sheetViews>
  <sheetFormatPr defaultRowHeight="14.4" x14ac:dyDescent="0.3"/>
  <cols>
    <col min="1" max="1" width="8" customWidth="1"/>
    <col min="2" max="2" width="48" customWidth="1"/>
    <col min="3" max="3" width="15" customWidth="1"/>
    <col min="4" max="4" width="20" customWidth="1"/>
  </cols>
  <sheetData>
    <row r="1" spans="1:4" ht="19.8" x14ac:dyDescent="0.3">
      <c r="A1" s="19" t="s">
        <v>254</v>
      </c>
      <c r="B1" s="18"/>
      <c r="C1" s="18"/>
      <c r="D1" s="18"/>
    </row>
    <row r="3" spans="1:4" x14ac:dyDescent="0.3">
      <c r="A3" s="2" t="s">
        <v>110</v>
      </c>
      <c r="B3" s="2" t="s">
        <v>111</v>
      </c>
      <c r="C3" s="2" t="s">
        <v>255</v>
      </c>
      <c r="D3" s="2" t="s">
        <v>256</v>
      </c>
    </row>
    <row r="4" spans="1:4" x14ac:dyDescent="0.3">
      <c r="A4" s="1">
        <v>1</v>
      </c>
      <c r="B4" s="1" t="s">
        <v>114</v>
      </c>
      <c r="C4" s="1" t="s">
        <v>259</v>
      </c>
      <c r="D4" s="10">
        <v>46291</v>
      </c>
    </row>
    <row r="5" spans="1:4" x14ac:dyDescent="0.3">
      <c r="A5" s="1">
        <v>2</v>
      </c>
      <c r="B5" s="1" t="s">
        <v>257</v>
      </c>
      <c r="C5" s="1" t="s">
        <v>259</v>
      </c>
      <c r="D5" s="10">
        <f>$D$4</f>
        <v>46291</v>
      </c>
    </row>
    <row r="6" spans="1:4" x14ac:dyDescent="0.3">
      <c r="A6" s="1">
        <v>3</v>
      </c>
      <c r="B6" s="1" t="s">
        <v>126</v>
      </c>
      <c r="C6" s="1" t="s">
        <v>259</v>
      </c>
      <c r="D6" s="10">
        <f t="shared" ref="D6:D16" si="0">$D$4</f>
        <v>46291</v>
      </c>
    </row>
    <row r="7" spans="1:4" x14ac:dyDescent="0.3">
      <c r="A7" s="1">
        <v>4</v>
      </c>
      <c r="B7" s="1" t="s">
        <v>129</v>
      </c>
      <c r="C7" s="1" t="s">
        <v>259</v>
      </c>
      <c r="D7" s="10">
        <f t="shared" si="0"/>
        <v>46291</v>
      </c>
    </row>
    <row r="8" spans="1:4" x14ac:dyDescent="0.3">
      <c r="A8" s="1">
        <v>5</v>
      </c>
      <c r="B8" s="1" t="s">
        <v>132</v>
      </c>
      <c r="C8" s="1" t="s">
        <v>259</v>
      </c>
      <c r="D8" s="10">
        <f t="shared" si="0"/>
        <v>46291</v>
      </c>
    </row>
    <row r="9" spans="1:4" x14ac:dyDescent="0.3">
      <c r="A9" s="1">
        <v>6</v>
      </c>
      <c r="B9" s="1" t="s">
        <v>135</v>
      </c>
      <c r="C9" s="1" t="s">
        <v>259</v>
      </c>
      <c r="D9" s="10">
        <f t="shared" si="0"/>
        <v>46291</v>
      </c>
    </row>
    <row r="10" spans="1:4" x14ac:dyDescent="0.3">
      <c r="A10" s="1">
        <v>7</v>
      </c>
      <c r="B10" s="1" t="s">
        <v>138</v>
      </c>
      <c r="C10" s="1" t="s">
        <v>259</v>
      </c>
      <c r="D10" s="10">
        <f t="shared" si="0"/>
        <v>46291</v>
      </c>
    </row>
    <row r="11" spans="1:4" x14ac:dyDescent="0.3">
      <c r="A11" s="1">
        <v>8</v>
      </c>
      <c r="B11" s="1" t="s">
        <v>141</v>
      </c>
      <c r="C11" s="1" t="s">
        <v>259</v>
      </c>
      <c r="D11" s="10">
        <f t="shared" si="0"/>
        <v>46291</v>
      </c>
    </row>
    <row r="12" spans="1:4" x14ac:dyDescent="0.3">
      <c r="A12" s="1">
        <v>9</v>
      </c>
      <c r="B12" s="1" t="s">
        <v>144</v>
      </c>
      <c r="C12" s="1" t="s">
        <v>259</v>
      </c>
      <c r="D12" s="10">
        <f t="shared" si="0"/>
        <v>46291</v>
      </c>
    </row>
    <row r="13" spans="1:4" x14ac:dyDescent="0.3">
      <c r="A13" s="1">
        <v>10</v>
      </c>
      <c r="B13" s="1" t="s">
        <v>147</v>
      </c>
      <c r="C13" s="1" t="s">
        <v>259</v>
      </c>
      <c r="D13" s="10">
        <f t="shared" si="0"/>
        <v>46291</v>
      </c>
    </row>
    <row r="14" spans="1:4" x14ac:dyDescent="0.3">
      <c r="A14" s="1">
        <v>11</v>
      </c>
      <c r="B14" s="1" t="s">
        <v>150</v>
      </c>
      <c r="C14" s="1" t="s">
        <v>259</v>
      </c>
      <c r="D14" s="10">
        <f t="shared" si="0"/>
        <v>46291</v>
      </c>
    </row>
    <row r="15" spans="1:4" x14ac:dyDescent="0.3">
      <c r="A15" s="1">
        <v>12</v>
      </c>
      <c r="B15" s="1" t="s">
        <v>153</v>
      </c>
      <c r="C15" s="1" t="s">
        <v>259</v>
      </c>
      <c r="D15" s="10">
        <f t="shared" si="0"/>
        <v>46291</v>
      </c>
    </row>
    <row r="16" spans="1:4" x14ac:dyDescent="0.3">
      <c r="A16" s="1">
        <v>13</v>
      </c>
      <c r="B16" s="1" t="s">
        <v>258</v>
      </c>
      <c r="C16" s="1" t="s">
        <v>259</v>
      </c>
      <c r="D16" s="10">
        <f t="shared" si="0"/>
        <v>46291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C08318D-AB30-4ECC-8F8A-983D85A7ED92}">
  <ds:schemaRefs/>
</ds:datastoreItem>
</file>

<file path=customXml/itemProps2.xml><?xml version="1.0" encoding="utf-8"?>
<ds:datastoreItem xmlns:ds="http://schemas.openxmlformats.org/officeDocument/2006/customXml" ds:itemID="{950B3833-7BA0-4D65-B6D4-75DE37B9B14A}">
  <ds:schemaRefs/>
</ds:datastoreItem>
</file>

<file path=customXml/itemProps3.xml><?xml version="1.0" encoding="utf-8"?>
<ds:datastoreItem xmlns:ds="http://schemas.openxmlformats.org/officeDocument/2006/customXml" ds:itemID="{B203DE03-1463-43EF-BF92-DFA2BCBC7EE9}">
  <ds:schemaRefs/>
</ds:datastoreItem>
</file>

<file path=customXml/itemProps4.xml><?xml version="1.0" encoding="utf-8"?>
<ds:datastoreItem xmlns:ds="http://schemas.openxmlformats.org/officeDocument/2006/customXml" ds:itemID="{8F0DC1DB-9F60-4D7C-9E10-FCEB9FB73389}">
  <ds:schemaRefs/>
</ds:datastoreItem>
</file>

<file path=customXml/itemProps5.xml><?xml version="1.0" encoding="utf-8"?>
<ds:datastoreItem xmlns:ds="http://schemas.openxmlformats.org/officeDocument/2006/customXml" ds:itemID="{AD893F76-18D9-44BC-AF86-D555E569AB50}">
  <ds:schemaRefs/>
</ds:datastoreItem>
</file>

<file path=customXml/itemProps6.xml><?xml version="1.0" encoding="utf-8"?>
<ds:datastoreItem xmlns:ds="http://schemas.openxmlformats.org/officeDocument/2006/customXml" ds:itemID="{FD75803D-F924-48B9-A100-A7B19F1B8905}">
  <ds:schemaRefs/>
</ds:datastoreItem>
</file>

<file path=customXml/itemProps7.xml><?xml version="1.0" encoding="utf-8"?>
<ds:datastoreItem xmlns:ds="http://schemas.openxmlformats.org/officeDocument/2006/customXml" ds:itemID="{47A0B21C-344D-487B-BFE9-B4EBA80C0F70}">
  <ds:schemaRefs/>
</ds:datastoreItem>
</file>

<file path=customXml/itemProps8.xml><?xml version="1.0" encoding="utf-8"?>
<ds:datastoreItem xmlns:ds="http://schemas.openxmlformats.org/officeDocument/2006/customXml" ds:itemID="{BB7E6C4B-CFBF-40FA-8250-4B1D4B828FCE}">
  <ds:schemaRefs/>
</ds:datastoreItem>
</file>

<file path=customXml/itemProps9.xml><?xml version="1.0" encoding="utf-8"?>
<ds:datastoreItem xmlns:ds="http://schemas.openxmlformats.org/officeDocument/2006/customXml" ds:itemID="{E458637D-C80C-4C64-9E7E-41218076BD13}">
  <ds:schemaRefs/>
</ds:datastoreItem>
</file>

<file path=customXml/itemProps10.xml><?xml version="1.0" encoding="utf-8"?>
<ds:datastoreItem xmlns:ds="http://schemas.openxmlformats.org/officeDocument/2006/customXml" ds:itemID="{EE9B2FA3-C066-4F48-AD6D-13C221C7F362}">
  <ds:schemaRefs/>
</ds:datastoreItem>
</file>

<file path=customXml/itemProps11.xml><?xml version="1.0" encoding="utf-8"?>
<ds:datastoreItem xmlns:ds="http://schemas.openxmlformats.org/officeDocument/2006/customXml" ds:itemID="{CEDE8243-04AF-4813-9B86-1CECD3CFA581}">
  <ds:schemaRefs/>
</ds:datastoreItem>
</file>

<file path=customXml/itemProps12.xml><?xml version="1.0" encoding="utf-8"?>
<ds:datastoreItem xmlns:ds="http://schemas.openxmlformats.org/officeDocument/2006/customXml" ds:itemID="{6CBB6981-A466-4110-8FC7-A843D88ADA79}">
  <ds:schemaRefs/>
</ds:datastoreItem>
</file>

<file path=customXml/itemProps13.xml><?xml version="1.0" encoding="utf-8"?>
<ds:datastoreItem xmlns:ds="http://schemas.openxmlformats.org/officeDocument/2006/customXml" ds:itemID="{314BECF8-E5C5-48E9-814E-3458C6467B57}">
  <ds:schemaRefs/>
</ds:datastoreItem>
</file>

<file path=customXml/itemProps14.xml><?xml version="1.0" encoding="utf-8"?>
<ds:datastoreItem xmlns:ds="http://schemas.openxmlformats.org/officeDocument/2006/customXml" ds:itemID="{2513AF85-CE71-4F22-B069-6A7505F10E1B}">
  <ds:schemaRefs/>
</ds:datastoreItem>
</file>

<file path=customXml/itemProps15.xml><?xml version="1.0" encoding="utf-8"?>
<ds:datastoreItem xmlns:ds="http://schemas.openxmlformats.org/officeDocument/2006/customXml" ds:itemID="{03B9918D-624E-470F-B15E-2FDDE840DCDA}">
  <ds:schemaRefs/>
</ds:datastoreItem>
</file>

<file path=customXml/itemProps16.xml><?xml version="1.0" encoding="utf-8"?>
<ds:datastoreItem xmlns:ds="http://schemas.openxmlformats.org/officeDocument/2006/customXml" ds:itemID="{D548887A-BC65-4116-AA11-D5C42825CB9C}">
  <ds:schemaRefs/>
</ds:datastoreItem>
</file>

<file path=customXml/itemProps17.xml><?xml version="1.0" encoding="utf-8"?>
<ds:datastoreItem xmlns:ds="http://schemas.openxmlformats.org/officeDocument/2006/customXml" ds:itemID="{EB1BE478-A418-43FD-B544-B07B12FE5BEB}">
  <ds:schemaRefs/>
</ds:datastoreItem>
</file>

<file path=customXml/itemProps18.xml><?xml version="1.0" encoding="utf-8"?>
<ds:datastoreItem xmlns:ds="http://schemas.openxmlformats.org/officeDocument/2006/customXml" ds:itemID="{D01C55CC-18E8-4A99-BAC2-82395079A48F}">
  <ds:schemaRefs/>
</ds:datastoreItem>
</file>

<file path=customXml/itemProps19.xml><?xml version="1.0" encoding="utf-8"?>
<ds:datastoreItem xmlns:ds="http://schemas.openxmlformats.org/officeDocument/2006/customXml" ds:itemID="{F91C0189-5944-438B-8BA6-C74DC30D3603}">
  <ds:schemaRefs/>
</ds:datastoreItem>
</file>

<file path=customXml/itemProps20.xml><?xml version="1.0" encoding="utf-8"?>
<ds:datastoreItem xmlns:ds="http://schemas.openxmlformats.org/officeDocument/2006/customXml" ds:itemID="{24EEE1D4-DC4F-4447-BE03-E5897692C3C7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6EC19FB5-062D-418D-BA50-D4062C06D5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Sheet4</vt:lpstr>
      <vt:lpstr>Practice_Data</vt:lpstr>
      <vt:lpstr>Aggregate_Practice</vt:lpstr>
      <vt:lpstr>Practice_Questions</vt:lpstr>
      <vt:lpstr>Business_Cases</vt:lpstr>
      <vt:lpstr>Answer_Key</vt:lpstr>
      <vt:lpstr>Concept_Checklist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Pabbineedi</cp:lastModifiedBy>
  <dcterms:created xsi:type="dcterms:W3CDTF">2026-09-23T09:26:25Z</dcterms:created>
  <dcterms:modified xsi:type="dcterms:W3CDTF">2026-09-30T13:12:53Z</dcterms:modified>
</cp:coreProperties>
</file>